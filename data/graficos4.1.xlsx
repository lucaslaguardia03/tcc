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ucas\Desktop\tcc\data\"/>
    </mc:Choice>
  </mc:AlternateContent>
  <xr:revisionPtr revIDLastSave="0" documentId="13_ncr:1_{E085C4D8-28F9-4D3F-B842-1709E0AC9291}" xr6:coauthVersionLast="47" xr6:coauthVersionMax="47" xr10:uidLastSave="{00000000-0000-0000-0000-000000000000}"/>
  <bookViews>
    <workbookView xWindow="-120" yWindow="-120" windowWidth="29040" windowHeight="16440" activeTab="4" xr2:uid="{00000000-000D-0000-FFFF-FFFF00000000}"/>
  </bookViews>
  <sheets>
    <sheet name="rectot_fundeb_mun" sheetId="1" r:id="rId1"/>
    <sheet name="rectot_edu" sheetId="2" r:id="rId2"/>
    <sheet name="perc_rectot_edu" sheetId="3" r:id="rId3"/>
    <sheet name="comparacao_participacao" sheetId="6" r:id="rId4"/>
    <sheet name="composicao_fundeb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6" i="5" l="1"/>
  <c r="D37" i="5"/>
  <c r="D38" i="5"/>
  <c r="D39" i="5"/>
  <c r="D35" i="5"/>
  <c r="F23" i="2"/>
  <c r="G23" i="2"/>
  <c r="H23" i="2"/>
  <c r="D21" i="2"/>
  <c r="E21" i="2"/>
  <c r="F21" i="2"/>
  <c r="D19" i="2"/>
  <c r="C23" i="2"/>
  <c r="C24" i="2"/>
  <c r="D18" i="2"/>
  <c r="D17" i="2"/>
  <c r="E17" i="2"/>
  <c r="F17" i="2"/>
  <c r="C16" i="2"/>
  <c r="D16" i="2"/>
  <c r="E16" i="2"/>
  <c r="F16" i="2"/>
  <c r="G16" i="2"/>
  <c r="H16" i="2"/>
  <c r="I16" i="2"/>
  <c r="J16" i="2"/>
  <c r="B17" i="2"/>
  <c r="B18" i="2"/>
  <c r="B19" i="2"/>
  <c r="B20" i="2"/>
  <c r="B21" i="2"/>
  <c r="B22" i="2"/>
  <c r="B23" i="2"/>
  <c r="B24" i="2"/>
  <c r="B16" i="2"/>
  <c r="J3" i="2"/>
  <c r="E18" i="2" s="1"/>
  <c r="J4" i="2"/>
  <c r="E19" i="2" s="1"/>
  <c r="J5" i="2"/>
  <c r="J20" i="2" s="1"/>
  <c r="J6" i="2"/>
  <c r="G21" i="2" s="1"/>
  <c r="J7" i="2"/>
  <c r="D22" i="2" s="1"/>
  <c r="J8" i="2"/>
  <c r="I23" i="2" s="1"/>
  <c r="J9" i="2"/>
  <c r="D24" i="2" s="1"/>
  <c r="J2" i="2"/>
  <c r="G17" i="2" s="1"/>
  <c r="C17" i="2" l="1"/>
  <c r="C22" i="2"/>
  <c r="H20" i="2"/>
  <c r="J22" i="2"/>
  <c r="E23" i="2"/>
  <c r="C18" i="2"/>
  <c r="C21" i="2"/>
  <c r="G20" i="2"/>
  <c r="I22" i="2"/>
  <c r="D23" i="2"/>
  <c r="C19" i="2"/>
  <c r="C20" i="2"/>
  <c r="F20" i="2"/>
  <c r="H22" i="2"/>
  <c r="J24" i="2"/>
  <c r="J18" i="2"/>
  <c r="J19" i="2"/>
  <c r="E20" i="2"/>
  <c r="G22" i="2"/>
  <c r="I24" i="2"/>
  <c r="I18" i="2"/>
  <c r="I19" i="2"/>
  <c r="D20" i="2"/>
  <c r="F22" i="2"/>
  <c r="H24" i="2"/>
  <c r="J17" i="2"/>
  <c r="H18" i="2"/>
  <c r="H19" i="2"/>
  <c r="J21" i="2"/>
  <c r="E22" i="2"/>
  <c r="G24" i="2"/>
  <c r="I20" i="2"/>
  <c r="I17" i="2"/>
  <c r="G18" i="2"/>
  <c r="G19" i="2"/>
  <c r="I21" i="2"/>
  <c r="F24" i="2"/>
  <c r="H17" i="2"/>
  <c r="F18" i="2"/>
  <c r="F19" i="2"/>
  <c r="H21" i="2"/>
  <c r="J23" i="2"/>
  <c r="E24" i="2"/>
</calcChain>
</file>

<file path=xl/sharedStrings.xml><?xml version="1.0" encoding="utf-8"?>
<sst xmlns="http://schemas.openxmlformats.org/spreadsheetml/2006/main" count="62" uniqueCount="31">
  <si>
    <t>ano</t>
  </si>
  <si>
    <t>perc_rectot_fundeb</t>
  </si>
  <si>
    <t>perc_royalty_educ</t>
  </si>
  <si>
    <t>perc_impadd_mde</t>
  </si>
  <si>
    <t>perc_impadd_fundeb</t>
  </si>
  <si>
    <t>perc_sal_educ</t>
  </si>
  <si>
    <t>perc_prog_fnde</t>
  </si>
  <si>
    <t>perc_outrec_educ</t>
  </si>
  <si>
    <t>transf_fundeb_defl</t>
  </si>
  <si>
    <t>compl_vaaf_defl</t>
  </si>
  <si>
    <t>compl_vaat_defl</t>
  </si>
  <si>
    <t>compl_vaar_defl</t>
  </si>
  <si>
    <t>perc_transf_fundeb</t>
  </si>
  <si>
    <t>perc_compl_vaaf</t>
  </si>
  <si>
    <t>perc_compl_vaat</t>
  </si>
  <si>
    <t>perc_compl_vaar</t>
  </si>
  <si>
    <t>Ano</t>
  </si>
  <si>
    <t>Receita por Matrícula (R$)</t>
  </si>
  <si>
    <t>Receitas Totais do Fundeb</t>
  </si>
  <si>
    <t>Royalties da Educação</t>
  </si>
  <si>
    <t>25% Receitas MDE</t>
  </si>
  <si>
    <t>5% Cesta do Fundeb</t>
  </si>
  <si>
    <t>Salário Educação</t>
  </si>
  <si>
    <t>Programas FNDE</t>
  </si>
  <si>
    <t>Outras receitas de Educação</t>
  </si>
  <si>
    <t>Total</t>
  </si>
  <si>
    <t>Participação dos municípios no Fundeb</t>
  </si>
  <si>
    <t>VAAF</t>
  </si>
  <si>
    <t>VAAT</t>
  </si>
  <si>
    <t>VAAR</t>
  </si>
  <si>
    <t>Participação no Fundo Estadual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</si>
</sst>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</numFmts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43" fontId="0" fillId="0" borderId="0" xfId="1" applyFont="1"/>
    <xf numFmtId="43" fontId="0" fillId="0" borderId="0" xfId="1" applyFont="1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10" fontId="0" fillId="0" borderId="0" xfId="3" applyNumberFormat="1" applyFont="1"/>
    <xf numFmtId="10" fontId="0" fillId="0" borderId="0" xfId="3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0" fontId="0" fillId="0" borderId="1" xfId="0" applyBorder="1"/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/>
    <xf numFmtId="0" fontId="0" fillId="0" borderId="6" xfId="0" applyBorder="1"/>
    <xf numFmtId="0" fontId="0" fillId="0" borderId="10" xfId="0" applyBorder="1"/>
    <xf numFmtId="0" fontId="0" fillId="0" borderId="3" xfId="0" applyBorder="1"/>
    <xf numFmtId="0" fontId="0" fillId="0" borderId="11" xfId="0" applyBorder="1"/>
    <xf numFmtId="0" fontId="0" fillId="0" borderId="3" xfId="0" applyBorder="1" applyAlignment="1">
      <alignment horizontal="center" vertical="center"/>
    </xf>
    <xf numFmtId="10" fontId="0" fillId="0" borderId="12" xfId="0" applyNumberFormat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0" fontId="0" fillId="0" borderId="13" xfId="0" applyBorder="1"/>
    <xf numFmtId="0" fontId="0" fillId="0" borderId="7" xfId="0" applyBorder="1"/>
    <xf numFmtId="164" fontId="0" fillId="0" borderId="6" xfId="2" applyNumberFormat="1" applyFont="1" applyBorder="1" applyAlignment="1">
      <alignment horizontal="center" vertical="center"/>
    </xf>
    <xf numFmtId="164" fontId="0" fillId="0" borderId="4" xfId="2" applyNumberFormat="1" applyFont="1" applyBorder="1" applyAlignment="1">
      <alignment horizontal="center" vertical="center"/>
    </xf>
    <xf numFmtId="164" fontId="0" fillId="0" borderId="1" xfId="2" applyNumberFormat="1" applyFont="1" applyBorder="1" applyAlignment="1">
      <alignment horizontal="center" vertical="center"/>
    </xf>
    <xf numFmtId="164" fontId="0" fillId="0" borderId="10" xfId="2" applyNumberFormat="1" applyFont="1" applyBorder="1" applyAlignment="1">
      <alignment horizontal="center" vertical="center"/>
    </xf>
    <xf numFmtId="164" fontId="0" fillId="0" borderId="12" xfId="2" applyNumberFormat="1" applyFont="1" applyBorder="1" applyAlignment="1">
      <alignment horizontal="center" vertical="center"/>
    </xf>
    <xf numFmtId="164" fontId="0" fillId="0" borderId="2" xfId="2" applyNumberFormat="1" applyFont="1" applyBorder="1" applyAlignment="1">
      <alignment horizontal="center" vertical="center"/>
    </xf>
    <xf numFmtId="1" fontId="0" fillId="0" borderId="0" xfId="3" applyNumberFormat="1" applyFont="1" applyAlignment="1">
      <alignment horizontal="center" vertical="center"/>
    </xf>
    <xf numFmtId="0" fontId="0" fillId="0" borderId="2" xfId="0" applyBorder="1"/>
    <xf numFmtId="0" fontId="0" fillId="0" borderId="14" xfId="0" applyBorder="1"/>
    <xf numFmtId="10" fontId="0" fillId="0" borderId="6" xfId="3" applyNumberFormat="1" applyFont="1" applyBorder="1" applyAlignment="1">
      <alignment horizontal="center" vertical="center"/>
    </xf>
    <xf numFmtId="10" fontId="0" fillId="0" borderId="4" xfId="3" applyNumberFormat="1" applyFont="1" applyBorder="1" applyAlignment="1">
      <alignment horizontal="center" vertical="center"/>
    </xf>
    <xf numFmtId="10" fontId="0" fillId="0" borderId="1" xfId="3" applyNumberFormat="1" applyFont="1" applyBorder="1" applyAlignment="1">
      <alignment horizontal="center" vertical="center"/>
    </xf>
    <xf numFmtId="10" fontId="0" fillId="0" borderId="10" xfId="3" applyNumberFormat="1" applyFont="1" applyBorder="1" applyAlignment="1">
      <alignment horizontal="center" vertical="center"/>
    </xf>
    <xf numFmtId="10" fontId="0" fillId="0" borderId="12" xfId="3" applyNumberFormat="1" applyFont="1" applyBorder="1" applyAlignment="1">
      <alignment horizontal="center" vertical="center"/>
    </xf>
    <xf numFmtId="10" fontId="0" fillId="0" borderId="2" xfId="3" applyNumberFormat="1" applyFont="1" applyBorder="1" applyAlignment="1">
      <alignment horizontal="center" vertical="center"/>
    </xf>
    <xf numFmtId="164" fontId="0" fillId="0" borderId="0" xfId="0" applyNumberFormat="1"/>
    <xf numFmtId="164" fontId="0" fillId="0" borderId="0" xfId="1" applyNumberFormat="1" applyFon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colors>
    <mruColors>
      <color rgb="FF009E73"/>
      <color rgb="FFF0E442"/>
      <color rgb="FF56B4E9"/>
      <color rgb="FFCC79A7"/>
      <color rgb="FFD55E00"/>
      <color rgb="FFE69F00"/>
      <color rgb="FF0072B2"/>
      <color rgb="FF4A68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rectot_fundeb_mun!$B$1</c:f>
              <c:strCache>
                <c:ptCount val="1"/>
                <c:pt idx="0">
                  <c:v>Receita por Matrícula (R$)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4"/>
            <c:spPr>
              <a:solidFill>
                <a:schemeClr val="tx2"/>
              </a:solidFill>
              <a:ln w="0">
                <a:solidFill>
                  <a:schemeClr val="tx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4301158431788511E-2"/>
                  <c:y val="-8.57818172695440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46C-4482-8E8C-F84F6D6CE1D7}"/>
                </c:ext>
              </c:extLst>
            </c:dLbl>
            <c:dLbl>
              <c:idx val="1"/>
              <c:layout>
                <c:manualLayout>
                  <c:x val="-2.4640875659240866E-2"/>
                  <c:y val="-7.60293954261835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46C-4482-8E8C-F84F6D6CE1D7}"/>
                </c:ext>
              </c:extLst>
            </c:dLbl>
            <c:dLbl>
              <c:idx val="3"/>
              <c:layout>
                <c:manualLayout>
                  <c:x val="-1.8280328443443166E-2"/>
                  <c:y val="-8.70492755077538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46C-4482-8E8C-F84F6D6CE1D7}"/>
                </c:ext>
              </c:extLst>
            </c:dLbl>
            <c:dLbl>
              <c:idx val="4"/>
              <c:layout>
                <c:manualLayout>
                  <c:x val="-1.8280328443443166E-2"/>
                  <c:y val="-8.47734774552635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46C-4482-8E8C-F84F6D6CE1D7}"/>
                </c:ext>
              </c:extLst>
            </c:dLbl>
            <c:dLbl>
              <c:idx val="5"/>
              <c:layout>
                <c:manualLayout>
                  <c:x val="-1.8280328443443256E-2"/>
                  <c:y val="-9.61524677177150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46C-4482-8E8C-F84F6D6CE1D7}"/>
                </c:ext>
              </c:extLst>
            </c:dLbl>
            <c:dLbl>
              <c:idx val="6"/>
              <c:layout>
                <c:manualLayout>
                  <c:x val="-2.2920426532093533E-2"/>
                  <c:y val="-8.56329048142984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46C-4482-8E8C-F84F6D6CE1D7}"/>
                </c:ext>
              </c:extLst>
            </c:dLbl>
            <c:dLbl>
              <c:idx val="7"/>
              <c:layout>
                <c:manualLayout>
                  <c:x val="-1.9536708405192022E-2"/>
                  <c:y val="-9.16008716127344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46C-4482-8E8C-F84F6D6CE1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rectot_fundeb_mun!$A$2:$A$9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rectot_fundeb_mun!$B$2:$B$9</c:f>
              <c:numCache>
                <c:formatCode>"R$"\ #,##0.00</c:formatCode>
                <c:ptCount val="8"/>
                <c:pt idx="0">
                  <c:v>3743.0389243429599</c:v>
                </c:pt>
                <c:pt idx="1">
                  <c:v>5838.4447818506997</c:v>
                </c:pt>
                <c:pt idx="2">
                  <c:v>6374.9727282189497</c:v>
                </c:pt>
                <c:pt idx="3">
                  <c:v>7557.6021879817799</c:v>
                </c:pt>
                <c:pt idx="4">
                  <c:v>7724.1451876711799</c:v>
                </c:pt>
                <c:pt idx="5">
                  <c:v>7553.7098636996998</c:v>
                </c:pt>
                <c:pt idx="6">
                  <c:v>8407.6046175784395</c:v>
                </c:pt>
                <c:pt idx="7">
                  <c:v>9185.7085967592393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6C-4482-8E8C-F84F6D6CE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6470767"/>
        <c:axId val="1516471247"/>
      </c:lineChart>
      <c:catAx>
        <c:axId val="1516470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1600"/>
                  <a:t>Ano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516471247"/>
        <c:crosses val="autoZero"/>
        <c:auto val="1"/>
        <c:lblAlgn val="ctr"/>
        <c:lblOffset val="100"/>
        <c:noMultiLvlLbl val="0"/>
      </c:catAx>
      <c:valAx>
        <c:axId val="1516471247"/>
        <c:scaling>
          <c:orientation val="minMax"/>
          <c:max val="11000"/>
          <c:min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6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1600"/>
                  <a:t>Receita por matrícula (R$)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&quot;R$&quot;\ #,##0.0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516470767"/>
        <c:crosses val="autoZero"/>
        <c:crossBetween val="between"/>
      </c:valAx>
      <c:spPr>
        <a:noFill/>
        <a:ln w="9525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rectot_edu!$C$50</c:f>
              <c:strCache>
                <c:ptCount val="1"/>
                <c:pt idx="0">
                  <c:v>Receitas Totais do Fundeb</c:v>
                </c:pt>
              </c:strCache>
            </c:strRef>
          </c:tx>
          <c:spPr>
            <a:solidFill>
              <a:srgbClr val="0072B2"/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2B2"/>
              </a:solidFill>
              <a:ln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724-43A1-86BC-4BCA6F84DE1E}"/>
              </c:ext>
            </c:extLst>
          </c:dPt>
          <c:cat>
            <c:numRef>
              <c:f>rectot_edu!$B$51:$B$58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rectot_edu!$C$51:$C$58</c:f>
              <c:numCache>
                <c:formatCode>"R$"\ #,##0.00</c:formatCode>
                <c:ptCount val="8"/>
                <c:pt idx="0">
                  <c:v>3743.0389243429599</c:v>
                </c:pt>
                <c:pt idx="1">
                  <c:v>5838.4447818506997</c:v>
                </c:pt>
                <c:pt idx="2">
                  <c:v>6374.9727282189497</c:v>
                </c:pt>
                <c:pt idx="3">
                  <c:v>7557.6021879817799</c:v>
                </c:pt>
                <c:pt idx="4">
                  <c:v>7724.1451876711799</c:v>
                </c:pt>
                <c:pt idx="5">
                  <c:v>7553.7098636996998</c:v>
                </c:pt>
                <c:pt idx="6">
                  <c:v>8407.6046175784395</c:v>
                </c:pt>
                <c:pt idx="7">
                  <c:v>9185.7085967592393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24-43A1-86BC-4BCA6F84DE1E}"/>
            </c:ext>
          </c:extLst>
        </c:ser>
        <c:ser>
          <c:idx val="2"/>
          <c:order val="1"/>
          <c:tx>
            <c:strRef>
              <c:f>rectot_edu!$E$50</c:f>
              <c:strCache>
                <c:ptCount val="1"/>
                <c:pt idx="0">
                  <c:v>25% Receitas MDE</c:v>
                </c:pt>
              </c:strCache>
            </c:strRef>
          </c:tx>
          <c:spPr>
            <a:solidFill>
              <a:srgbClr val="009E73"/>
            </a:solidFill>
            <a:ln>
              <a:noFill/>
            </a:ln>
            <a:effectLst/>
          </c:spPr>
          <c:invertIfNegative val="0"/>
          <c:cat>
            <c:numRef>
              <c:f>rectot_edu!$B$51:$B$58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rectot_edu!$E$51:$E$58</c:f>
              <c:numCache>
                <c:formatCode>"R$"\ #,##0.00</c:formatCode>
                <c:ptCount val="8"/>
                <c:pt idx="0">
                  <c:v>2026.1215931783299</c:v>
                </c:pt>
                <c:pt idx="1">
                  <c:v>2191.4234410394602</c:v>
                </c:pt>
                <c:pt idx="2">
                  <c:v>2187.0421837582799</c:v>
                </c:pt>
                <c:pt idx="3">
                  <c:v>2443.0814386677398</c:v>
                </c:pt>
                <c:pt idx="4">
                  <c:v>2610.2596561216401</c:v>
                </c:pt>
                <c:pt idx="5">
                  <c:v>2927.9396193284101</c:v>
                </c:pt>
                <c:pt idx="6">
                  <c:v>3219.0418664727299</c:v>
                </c:pt>
                <c:pt idx="7">
                  <c:v>3126.1020666644699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24-43A1-86BC-4BCA6F84DE1E}"/>
            </c:ext>
          </c:extLst>
        </c:ser>
        <c:ser>
          <c:idx val="3"/>
          <c:order val="2"/>
          <c:tx>
            <c:strRef>
              <c:f>rectot_edu!$F$50</c:f>
              <c:strCache>
                <c:ptCount val="1"/>
                <c:pt idx="0">
                  <c:v>5% Cesta do Fundeb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numRef>
              <c:f>rectot_edu!$B$51:$B$58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rectot_edu!$F$51:$F$58</c:f>
              <c:numCache>
                <c:formatCode>"R$"\ #,##0.00</c:formatCode>
                <c:ptCount val="8"/>
                <c:pt idx="0">
                  <c:v>1072.63309171419</c:v>
                </c:pt>
                <c:pt idx="1">
                  <c:v>1136.05098798155</c:v>
                </c:pt>
                <c:pt idx="2">
                  <c:v>1158.4333728838601</c:v>
                </c:pt>
                <c:pt idx="3">
                  <c:v>1297.8288849046601</c:v>
                </c:pt>
                <c:pt idx="4">
                  <c:v>1385.2810378435499</c:v>
                </c:pt>
                <c:pt idx="5">
                  <c:v>1384.31740705738</c:v>
                </c:pt>
                <c:pt idx="6">
                  <c:v>1479.75801423246</c:v>
                </c:pt>
                <c:pt idx="7">
                  <c:v>1429.50900780285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24-43A1-86BC-4BCA6F84DE1E}"/>
            </c:ext>
          </c:extLst>
        </c:ser>
        <c:ser>
          <c:idx val="4"/>
          <c:order val="3"/>
          <c:tx>
            <c:strRef>
              <c:f>rectot_edu!$G$50</c:f>
              <c:strCache>
                <c:ptCount val="1"/>
                <c:pt idx="0">
                  <c:v>Salário Educação</c:v>
                </c:pt>
              </c:strCache>
            </c:strRef>
          </c:tx>
          <c:spPr>
            <a:solidFill>
              <a:srgbClr val="D55E00"/>
            </a:solidFill>
            <a:ln>
              <a:noFill/>
            </a:ln>
            <a:effectLst/>
          </c:spPr>
          <c:invertIfNegative val="0"/>
          <c:cat>
            <c:numRef>
              <c:f>rectot_edu!$B$51:$B$58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rectot_edu!$G$51:$G$58</c:f>
              <c:numCache>
                <c:formatCode>"R$"\ #,##0.00</c:formatCode>
                <c:ptCount val="8"/>
                <c:pt idx="0">
                  <c:v>406.08732852840501</c:v>
                </c:pt>
                <c:pt idx="1">
                  <c:v>432.91822830377799</c:v>
                </c:pt>
                <c:pt idx="2">
                  <c:v>376.19039664660897</c:v>
                </c:pt>
                <c:pt idx="3">
                  <c:v>364.99277945199202</c:v>
                </c:pt>
                <c:pt idx="4">
                  <c:v>404.24092826572399</c:v>
                </c:pt>
                <c:pt idx="5">
                  <c:v>446.20683436966698</c:v>
                </c:pt>
                <c:pt idx="6">
                  <c:v>533.02849311955504</c:v>
                </c:pt>
                <c:pt idx="7">
                  <c:v>512.20870277818904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24-43A1-86BC-4BCA6F84DE1E}"/>
            </c:ext>
          </c:extLst>
        </c:ser>
        <c:ser>
          <c:idx val="5"/>
          <c:order val="4"/>
          <c:tx>
            <c:strRef>
              <c:f>rectot_edu!$H$50</c:f>
              <c:strCache>
                <c:ptCount val="1"/>
                <c:pt idx="0">
                  <c:v>Programas FNDE</c:v>
                </c:pt>
              </c:strCache>
            </c:strRef>
          </c:tx>
          <c:spPr>
            <a:solidFill>
              <a:srgbClr val="CC79A7"/>
            </a:solidFill>
            <a:ln>
              <a:noFill/>
            </a:ln>
            <a:effectLst/>
          </c:spPr>
          <c:invertIfNegative val="0"/>
          <c:cat>
            <c:numRef>
              <c:f>rectot_edu!$B$51:$B$58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rectot_edu!$H$51:$H$58</c:f>
              <c:numCache>
                <c:formatCode>"R$"\ #,##0.00</c:formatCode>
                <c:ptCount val="8"/>
                <c:pt idx="0">
                  <c:v>314.73139567931702</c:v>
                </c:pt>
                <c:pt idx="1">
                  <c:v>238.87825433010801</c:v>
                </c:pt>
                <c:pt idx="2">
                  <c:v>233.033848459594</c:v>
                </c:pt>
                <c:pt idx="3">
                  <c:v>215.582858809323</c:v>
                </c:pt>
                <c:pt idx="4">
                  <c:v>206.82342675990799</c:v>
                </c:pt>
                <c:pt idx="5">
                  <c:v>311.62050888463</c:v>
                </c:pt>
                <c:pt idx="6">
                  <c:v>302.49100926498699</c:v>
                </c:pt>
                <c:pt idx="7">
                  <c:v>291.87105584363599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724-43A1-86BC-4BCA6F84DE1E}"/>
            </c:ext>
          </c:extLst>
        </c:ser>
        <c:ser>
          <c:idx val="6"/>
          <c:order val="5"/>
          <c:tx>
            <c:strRef>
              <c:f>rectot_edu!$I$50</c:f>
              <c:strCache>
                <c:ptCount val="1"/>
                <c:pt idx="0">
                  <c:v>Outras receitas de Educação</c:v>
                </c:pt>
              </c:strCache>
            </c:strRef>
          </c:tx>
          <c:spPr>
            <a:solidFill>
              <a:srgbClr val="56B4E9"/>
            </a:solidFill>
            <a:ln>
              <a:noFill/>
            </a:ln>
            <a:effectLst/>
          </c:spPr>
          <c:invertIfNegative val="0"/>
          <c:cat>
            <c:numRef>
              <c:f>rectot_edu!$B$51:$B$58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rectot_edu!$I$51:$I$58</c:f>
              <c:numCache>
                <c:formatCode>"R$"\ #,##0.00</c:formatCode>
                <c:ptCount val="8"/>
                <c:pt idx="0">
                  <c:v>300.73113017685301</c:v>
                </c:pt>
                <c:pt idx="1">
                  <c:v>338.92136522075998</c:v>
                </c:pt>
                <c:pt idx="2">
                  <c:v>79.879712274092299</c:v>
                </c:pt>
                <c:pt idx="3">
                  <c:v>154.313243781842</c:v>
                </c:pt>
                <c:pt idx="4">
                  <c:v>1161.2264718654101</c:v>
                </c:pt>
                <c:pt idx="5">
                  <c:v>809.40079017384903</c:v>
                </c:pt>
                <c:pt idx="6">
                  <c:v>709.86537091299795</c:v>
                </c:pt>
                <c:pt idx="7">
                  <c:v>406.68565649881202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724-43A1-86BC-4BCA6F84DE1E}"/>
            </c:ext>
          </c:extLst>
        </c:ser>
        <c:ser>
          <c:idx val="1"/>
          <c:order val="6"/>
          <c:tx>
            <c:strRef>
              <c:f>rectot_edu!$D$50</c:f>
              <c:strCache>
                <c:ptCount val="1"/>
                <c:pt idx="0">
                  <c:v>Royalties da Educação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rectot_edu!$B$51:$B$58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rectot_edu!$D$51:$D$58</c:f>
              <c:numCache>
                <c:formatCode>"R$"\ #,##0.00</c:formatCode>
                <c:ptCount val="8"/>
                <c:pt idx="0">
                  <c:v>0.10094536954519701</c:v>
                </c:pt>
                <c:pt idx="1">
                  <c:v>0.20105681420052501</c:v>
                </c:pt>
                <c:pt idx="2">
                  <c:v>0.51127666786732096</c:v>
                </c:pt>
                <c:pt idx="3">
                  <c:v>1.92910382445785</c:v>
                </c:pt>
                <c:pt idx="4">
                  <c:v>14.238527132714699</c:v>
                </c:pt>
                <c:pt idx="5">
                  <c:v>18.913506241433399</c:v>
                </c:pt>
                <c:pt idx="6">
                  <c:v>23.633838172759202</c:v>
                </c:pt>
                <c:pt idx="7">
                  <c:v>32.487397034695803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24-43A1-86BC-4BCA6F84D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overlap val="100"/>
        <c:axId val="1625588287"/>
        <c:axId val="1625586847"/>
      </c:barChart>
      <c:lineChart>
        <c:grouping val="stacked"/>
        <c:varyColors val="0"/>
        <c:ser>
          <c:idx val="7"/>
          <c:order val="7"/>
          <c:tx>
            <c:strRef>
              <c:f>rectot_edu!$J$50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1818965274356042E-2"/>
                  <c:y val="-6.6081779199306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3724-43A1-86BC-4BCA6F84DE1E}"/>
                </c:ext>
              </c:extLst>
            </c:dLbl>
            <c:dLbl>
              <c:idx val="1"/>
              <c:layout>
                <c:manualLayout>
                  <c:x val="-1.2746723113572835E-2"/>
                  <c:y val="-6.60817791993064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3724-43A1-86BC-4BCA6F84DE1E}"/>
                </c:ext>
              </c:extLst>
            </c:dLbl>
            <c:dLbl>
              <c:idx val="2"/>
              <c:layout>
                <c:manualLayout>
                  <c:x val="-1.3657203335970924E-2"/>
                  <c:y val="-6.60817791993064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3724-43A1-86BC-4BCA6F84DE1E}"/>
                </c:ext>
              </c:extLst>
            </c:dLbl>
            <c:dLbl>
              <c:idx val="3"/>
              <c:layout>
                <c:manualLayout>
                  <c:x val="-1.2746723113572802E-2"/>
                  <c:y val="-6.89549000340589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3724-43A1-86BC-4BCA6F84DE1E}"/>
                </c:ext>
              </c:extLst>
            </c:dLbl>
            <c:dLbl>
              <c:idx val="4"/>
              <c:layout>
                <c:manualLayout>
                  <c:x val="-1.2746723113572802E-2"/>
                  <c:y val="-6.75183396166827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3724-43A1-86BC-4BCA6F84DE1E}"/>
                </c:ext>
              </c:extLst>
            </c:dLbl>
            <c:dLbl>
              <c:idx val="5"/>
              <c:layout>
                <c:manualLayout>
                  <c:x val="-1.1836242891174744E-2"/>
                  <c:y val="-6.89549000340589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3724-43A1-86BC-4BCA6F84DE1E}"/>
                </c:ext>
              </c:extLst>
            </c:dLbl>
            <c:dLbl>
              <c:idx val="6"/>
              <c:layout>
                <c:manualLayout>
                  <c:x val="-1.3657203335970858E-2"/>
                  <c:y val="-6.46452187819302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3724-43A1-86BC-4BCA6F84DE1E}"/>
                </c:ext>
              </c:extLst>
            </c:dLbl>
            <c:dLbl>
              <c:idx val="7"/>
              <c:layout>
                <c:manualLayout>
                  <c:x val="-1.1836242891174744E-2"/>
                  <c:y val="-6.75183396166827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3724-43A1-86BC-4BCA6F84DE1E}"/>
                </c:ext>
              </c:extLst>
            </c:dLbl>
            <c:numFmt formatCode="&quot;R$&quot;\ 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rectot_edu!$J$51:$J$58</c:f>
              <c:numCache>
                <c:formatCode>"R$"\ #,##0.00</c:formatCode>
                <c:ptCount val="8"/>
                <c:pt idx="0">
                  <c:v>7863.4444089896006</c:v>
                </c:pt>
                <c:pt idx="1">
                  <c:v>10176.838115540555</c:v>
                </c:pt>
                <c:pt idx="2">
                  <c:v>10410.063518909254</c:v>
                </c:pt>
                <c:pt idx="3">
                  <c:v>12035.330497421795</c:v>
                </c:pt>
                <c:pt idx="4">
                  <c:v>13506.215235660125</c:v>
                </c:pt>
                <c:pt idx="5">
                  <c:v>13452.108529755069</c:v>
                </c:pt>
                <c:pt idx="6">
                  <c:v>14675.423209753928</c:v>
                </c:pt>
                <c:pt idx="7">
                  <c:v>14984.572483381891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724-43A1-86BC-4BCA6F84D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5588287"/>
        <c:axId val="1625586847"/>
      </c:lineChart>
      <c:catAx>
        <c:axId val="162558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1600"/>
                  <a:t>Ano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625586847"/>
        <c:crosses val="autoZero"/>
        <c:auto val="1"/>
        <c:lblAlgn val="ctr"/>
        <c:lblOffset val="100"/>
        <c:noMultiLvlLbl val="0"/>
      </c:catAx>
      <c:valAx>
        <c:axId val="1625586847"/>
        <c:scaling>
          <c:orientation val="minMax"/>
          <c:max val="1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1600"/>
                  <a:t>Receita por matrícula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&quot;R$&quot;\ #,##0.0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625588287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705702812441198"/>
          <c:y val="0.91977929907389355"/>
          <c:w val="0.74723321224218509"/>
          <c:h val="6.65098203926732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comparacao_participacao!$B$1</c:f>
              <c:strCache>
                <c:ptCount val="1"/>
                <c:pt idx="0">
                  <c:v>Participação dos municípios no Fundeb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tx2"/>
              </a:solidFill>
              <a:ln w="0">
                <a:solidFill>
                  <a:schemeClr val="tx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4301167717921839E-2"/>
                  <c:y val="-4.70221259887537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AD2-4D60-BAEC-4E8FC214A634}"/>
                </c:ext>
              </c:extLst>
            </c:dLbl>
            <c:dLbl>
              <c:idx val="1"/>
              <c:layout>
                <c:manualLayout>
                  <c:x val="-2.7217368706036107E-2"/>
                  <c:y val="-4.24376981093609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AD2-4D60-BAEC-4E8FC214A634}"/>
                </c:ext>
              </c:extLst>
            </c:dLbl>
            <c:dLbl>
              <c:idx val="3"/>
              <c:layout>
                <c:manualLayout>
                  <c:x val="-2.4721521013505877E-2"/>
                  <c:y val="-3.75269156090491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AD2-4D60-BAEC-4E8FC214A634}"/>
                </c:ext>
              </c:extLst>
            </c:dLbl>
            <c:dLbl>
              <c:idx val="4"/>
              <c:layout>
                <c:manualLayout>
                  <c:x val="-2.0856786321963441E-2"/>
                  <c:y val="-4.01108954629586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AD2-4D60-BAEC-4E8FC214A634}"/>
                </c:ext>
              </c:extLst>
            </c:dLbl>
            <c:dLbl>
              <c:idx val="5"/>
              <c:layout>
                <c:manualLayout>
                  <c:x val="-2.4721521013505974E-2"/>
                  <c:y val="-4.01108954629586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AD2-4D60-BAEC-4E8FC214A634}"/>
                </c:ext>
              </c:extLst>
            </c:dLbl>
            <c:dLbl>
              <c:idx val="6"/>
              <c:layout>
                <c:manualLayout>
                  <c:x val="-2.2920412635998595E-2"/>
                  <c:y val="-4.00457873091593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AD2-4D60-BAEC-4E8FC214A634}"/>
                </c:ext>
              </c:extLst>
            </c:dLbl>
            <c:dLbl>
              <c:idx val="7"/>
              <c:layout>
                <c:manualLayout>
                  <c:x val="-2.2145031219144254E-2"/>
                  <c:y val="-4.01108954629586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AD2-4D60-BAEC-4E8FC214A6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comparacao_participacao!$A$2:$A$9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comparacao_participacao!$B$2:$B$9</c:f>
              <c:numCache>
                <c:formatCode>0.00%</c:formatCode>
                <c:ptCount val="8"/>
                <c:pt idx="0">
                  <c:v>0.46691041900000002</c:v>
                </c:pt>
                <c:pt idx="1">
                  <c:v>0.47832596799999999</c:v>
                </c:pt>
                <c:pt idx="2">
                  <c:v>0.49298979599999998</c:v>
                </c:pt>
                <c:pt idx="3">
                  <c:v>0.49517646199999998</c:v>
                </c:pt>
                <c:pt idx="4">
                  <c:v>0.51094611199999995</c:v>
                </c:pt>
                <c:pt idx="5">
                  <c:v>0.52651707599999997</c:v>
                </c:pt>
                <c:pt idx="6">
                  <c:v>0.545458467</c:v>
                </c:pt>
                <c:pt idx="7">
                  <c:v>0.57037207599999995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AD2-4D60-BAEC-4E8FC214A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6470767"/>
        <c:axId val="1516471247"/>
      </c:lineChart>
      <c:catAx>
        <c:axId val="1516470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1600"/>
                  <a:t>Ano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516471247"/>
        <c:crosses val="autoZero"/>
        <c:auto val="1"/>
        <c:lblAlgn val="ctr"/>
        <c:lblOffset val="100"/>
        <c:noMultiLvlLbl val="0"/>
      </c:catAx>
      <c:valAx>
        <c:axId val="151647124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6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1600"/>
                  <a:t>Participação municipal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516470767"/>
        <c:crosses val="autoZero"/>
        <c:crossBetween val="between"/>
      </c:valAx>
      <c:spPr>
        <a:noFill/>
        <a:ln w="9525">
          <a:solidFill>
            <a:schemeClr val="tx1"/>
          </a:solidFill>
        </a:ln>
        <a:effectLst/>
      </c:spPr>
    </c:plotArea>
    <c:plotVisOnly val="1"/>
    <c:dispBlanksAs val="gap"/>
    <c:showDLblsOverMax val="0"/>
  </c:chart>
  <c:txPr>
    <a:bodyPr/>
    <a:lstStyle/>
    <a:p>
      <a:pPr>
        <a:defRPr sz="14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composicao_fundeb!$B$34</c:f>
              <c:strCache>
                <c:ptCount val="1"/>
                <c:pt idx="0">
                  <c:v>VAAT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composicao_fundeb!$A$35:$A$39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composicao_fundeb!$B$35:$B$39</c:f>
              <c:numCache>
                <c:formatCode>"R$"\ #,##0.00</c:formatCode>
                <c:ptCount val="5"/>
                <c:pt idx="0">
                  <c:v>96.675821259933599</c:v>
                </c:pt>
                <c:pt idx="1">
                  <c:v>130.08422840533899</c:v>
                </c:pt>
                <c:pt idx="2">
                  <c:v>290.14005684102</c:v>
                </c:pt>
                <c:pt idx="3">
                  <c:v>362.41988275851799</c:v>
                </c:pt>
                <c:pt idx="4">
                  <c:v>432.84622114000001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DCB-4787-92C3-BF33166A44C8}"/>
            </c:ext>
          </c:extLst>
        </c:ser>
        <c:ser>
          <c:idx val="2"/>
          <c:order val="1"/>
          <c:tx>
            <c:strRef>
              <c:f>composicao_fundeb!$C$34</c:f>
              <c:strCache>
                <c:ptCount val="1"/>
                <c:pt idx="0">
                  <c:v>VAAR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DDCB-4787-92C3-BF33166A44C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DDCB-4787-92C3-BF33166A44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composicao_fundeb!$A$35:$A$39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composicao_fundeb!$C$35:$C$39</c:f>
              <c:numCache>
                <c:formatCode>"R$"\ #,##0.00</c:formatCode>
                <c:ptCount val="5"/>
                <c:pt idx="3">
                  <c:v>113.721603299096</c:v>
                </c:pt>
                <c:pt idx="4">
                  <c:v>151.92129316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DCB-4787-92C3-BF33166A4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1"/>
        <c:overlap val="100"/>
        <c:axId val="1516470767"/>
        <c:axId val="1516471247"/>
      </c:barChart>
      <c:lineChart>
        <c:grouping val="standard"/>
        <c:varyColors val="0"/>
        <c:ser>
          <c:idx val="0"/>
          <c:order val="2"/>
          <c:tx>
            <c:strRef>
              <c:f>composicao_fundeb!$D$34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diamond"/>
            <c:size val="5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</c:marker>
          <c:dLbls>
            <c:dLbl>
              <c:idx val="0"/>
              <c:layout>
                <c:manualLayout>
                  <c:x val="-4.5279275715067957E-2"/>
                  <c:y val="-3.81165715908262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DDCB-4787-92C3-BF33166A44C8}"/>
                </c:ext>
              </c:extLst>
            </c:dLbl>
            <c:dLbl>
              <c:idx val="1"/>
              <c:layout>
                <c:manualLayout>
                  <c:x val="-5.2281043689047402E-2"/>
                  <c:y val="-3.88889436623884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DDCB-4787-92C3-BF33166A44C8}"/>
                </c:ext>
              </c:extLst>
            </c:dLbl>
            <c:dLbl>
              <c:idx val="2"/>
              <c:layout>
                <c:manualLayout>
                  <c:x val="-5.0880690094251516E-2"/>
                  <c:y val="-3.88889436623884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DDCB-4787-92C3-BF33166A44C8}"/>
                </c:ext>
              </c:extLst>
            </c:dLbl>
            <c:dLbl>
              <c:idx val="3"/>
              <c:layout>
                <c:manualLayout>
                  <c:x val="-4.6679629309863954E-2"/>
                  <c:y val="-3.87345481219152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DDCB-4787-92C3-BF33166A44C8}"/>
                </c:ext>
              </c:extLst>
            </c:dLbl>
            <c:dLbl>
              <c:idx val="4"/>
              <c:layout>
                <c:manualLayout>
                  <c:x val="-4.8106446279679499E-2"/>
                  <c:y val="-3.76218354336779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DDCB-4787-92C3-BF33166A44C8}"/>
                </c:ext>
              </c:extLst>
            </c:dLbl>
            <c:numFmt formatCode="&quot;R$&quot;\ #,##0.00" sourceLinked="0"/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composicao_fundeb!$D$35:$D$39</c:f>
              <c:numCache>
                <c:formatCode>"R$"\ #,##0.00</c:formatCode>
                <c:ptCount val="5"/>
                <c:pt idx="0">
                  <c:v>96.675821259933599</c:v>
                </c:pt>
                <c:pt idx="1">
                  <c:v>130.08422840533899</c:v>
                </c:pt>
                <c:pt idx="2">
                  <c:v>290.14005684102</c:v>
                </c:pt>
                <c:pt idx="3">
                  <c:v>476.14148605761397</c:v>
                </c:pt>
                <c:pt idx="4">
                  <c:v>584.76751430000002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DCB-4787-92C3-BF33166A4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6470767"/>
        <c:axId val="1516471247"/>
      </c:lineChart>
      <c:catAx>
        <c:axId val="1516470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1600"/>
                  <a:t>Ano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516471247"/>
        <c:crosses val="autoZero"/>
        <c:auto val="1"/>
        <c:lblAlgn val="ctr"/>
        <c:lblOffset val="100"/>
        <c:noMultiLvlLbl val="0"/>
      </c:catAx>
      <c:valAx>
        <c:axId val="151647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6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1600"/>
                  <a:t>Complementação da Uniã</a:t>
                </a:r>
                <a:r>
                  <a:rPr lang="pt-BR" sz="1600" baseline="0"/>
                  <a:t>o </a:t>
                </a:r>
              </a:p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1600"/>
                  <a:t>(Em milhões de</a:t>
                </a:r>
                <a:r>
                  <a:rPr lang="pt-BR" sz="1600" baseline="0"/>
                  <a:t> </a:t>
                </a:r>
                <a:r>
                  <a:rPr lang="pt-BR" sz="1600"/>
                  <a:t>reais)</a:t>
                </a:r>
              </a:p>
            </c:rich>
          </c:tx>
          <c:layout>
            <c:manualLayout>
              <c:xMode val="edge"/>
              <c:yMode val="edge"/>
              <c:x val="6.9987089225872498E-3"/>
              <c:y val="0.2308342898821178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&quot;R$&quot;\ #,##0.0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516470767"/>
        <c:crosses val="autoZero"/>
        <c:crossBetween val="between"/>
      </c:valAx>
      <c:spPr>
        <a:noFill/>
        <a:ln w="9525">
          <a:solidFill>
            <a:schemeClr val="tx1"/>
          </a:solidFill>
        </a:ln>
        <a:effectLst/>
      </c:spPr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 sz="14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207168</xdr:colOff>
      <xdr:row>5</xdr:row>
      <xdr:rowOff>163115</xdr:rowOff>
    </xdr:from>
    <xdr:to>
      <xdr:col>17</xdr:col>
      <xdr:colOff>409575</xdr:colOff>
      <xdr:row>35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9B62208-04CE-02CE-1492-819EEC44CD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742949</xdr:colOff>
      <xdr:row>66</xdr:row>
      <xdr:rowOff>85724</xdr:rowOff>
    </xdr:from>
    <xdr:to>
      <xdr:col>14</xdr:col>
      <xdr:colOff>272143</xdr:colOff>
      <xdr:row>112</xdr:row>
      <xdr:rowOff>27213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8DB9874-A6E8-6ECB-F1B5-486BF31688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304801</xdr:colOff>
      <xdr:row>11</xdr:row>
      <xdr:rowOff>76200</xdr:rowOff>
    </xdr:from>
    <xdr:to>
      <xdr:col>25</xdr:col>
      <xdr:colOff>409575</xdr:colOff>
      <xdr:row>37</xdr:row>
      <xdr:rowOff>38099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37F7F5D-6839-DC45-6754-7BCFAC74BE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696058</xdr:colOff>
      <xdr:row>26</xdr:row>
      <xdr:rowOff>49697</xdr:rowOff>
    </xdr:from>
    <xdr:to>
      <xdr:col>14</xdr:col>
      <xdr:colOff>571500</xdr:colOff>
      <xdr:row>52</xdr:row>
      <xdr:rowOff>168087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432E427-4AAF-73EE-4E96-660C06BB10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zoomScaleNormal="100" workbookViewId="0">
      <selection activeCell="B6" sqref="B6"/>
    </sheetView>
  </sheetViews>
  <sheetFormatPr defaultColWidth="11.42578125" defaultRowHeight="15" x14ac:dyDescent="0.25"/>
  <cols>
    <col min="2" max="2" width="12.140625" bestFit="1" customWidth="1"/>
  </cols>
  <sheetData>
    <row r="1" spans="1:2" x14ac:dyDescent="0.25">
      <c r="A1" t="s">
        <v>16</v>
      </c>
      <c r="B1" t="s">
        <v>17</v>
      </c>
    </row>
    <row r="2" spans="1:2" x14ac:dyDescent="0.25">
      <c r="A2">
        <v>2018</v>
      </c>
      <c r="B2" s="44">
        <v>3743.0389243429599</v>
      </c>
    </row>
    <row r="3" spans="1:2" x14ac:dyDescent="0.25">
      <c r="A3">
        <v>2019</v>
      </c>
      <c r="B3" s="44">
        <v>5838.4447818506997</v>
      </c>
    </row>
    <row r="4" spans="1:2" x14ac:dyDescent="0.25">
      <c r="A4">
        <v>2020</v>
      </c>
      <c r="B4" s="44">
        <v>6374.9727282189497</v>
      </c>
    </row>
    <row r="5" spans="1:2" x14ac:dyDescent="0.25">
      <c r="A5">
        <v>2021</v>
      </c>
      <c r="B5" s="44">
        <v>7557.6021879817799</v>
      </c>
    </row>
    <row r="6" spans="1:2" x14ac:dyDescent="0.25">
      <c r="A6">
        <v>2022</v>
      </c>
      <c r="B6" s="44">
        <v>7724.1451876711799</v>
      </c>
    </row>
    <row r="7" spans="1:2" x14ac:dyDescent="0.25">
      <c r="A7">
        <v>2023</v>
      </c>
      <c r="B7" s="44">
        <v>7553.7098636996998</v>
      </c>
    </row>
    <row r="8" spans="1:2" x14ac:dyDescent="0.25">
      <c r="A8">
        <v>2024</v>
      </c>
      <c r="B8" s="44">
        <v>8407.6046175784395</v>
      </c>
    </row>
    <row r="9" spans="1:2" x14ac:dyDescent="0.25">
      <c r="A9">
        <v>2025</v>
      </c>
      <c r="B9" s="44">
        <v>9185.7085967592393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4"/>
  <sheetViews>
    <sheetView topLeftCell="A74" zoomScaleNormal="100" workbookViewId="0">
      <selection activeCell="B116" sqref="B116"/>
    </sheetView>
  </sheetViews>
  <sheetFormatPr defaultColWidth="11.42578125" defaultRowHeight="15" x14ac:dyDescent="0.25"/>
  <cols>
    <col min="3" max="3" width="26.85546875" customWidth="1"/>
    <col min="4" max="8" width="20.5703125" customWidth="1"/>
    <col min="9" max="9" width="27.140625" customWidth="1"/>
    <col min="10" max="10" width="13.28515625" bestFit="1" customWidth="1"/>
  </cols>
  <sheetData>
    <row r="1" spans="2:10" s="5" customFormat="1" ht="35.25" customHeight="1" x14ac:dyDescent="0.25">
      <c r="B1" s="4" t="s">
        <v>16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</row>
    <row r="2" spans="2:10" x14ac:dyDescent="0.25">
      <c r="B2">
        <v>2018</v>
      </c>
      <c r="C2" s="2">
        <v>3743.0389243429599</v>
      </c>
      <c r="D2" s="2">
        <v>0.10094536954519701</v>
      </c>
      <c r="E2" s="2">
        <v>2026.1215931783299</v>
      </c>
      <c r="F2" s="2">
        <v>1072.63309171419</v>
      </c>
      <c r="G2" s="2">
        <v>406.08732852840501</v>
      </c>
      <c r="H2" s="2">
        <v>314.73139567931702</v>
      </c>
      <c r="I2" s="2">
        <v>300.73113017685301</v>
      </c>
      <c r="J2" s="1">
        <f>SUM(C2:I2)</f>
        <v>7863.4444089896006</v>
      </c>
    </row>
    <row r="3" spans="2:10" x14ac:dyDescent="0.25">
      <c r="B3">
        <v>2019</v>
      </c>
      <c r="C3" s="2">
        <v>5838.4447818506997</v>
      </c>
      <c r="D3" s="2">
        <v>0.20105681420052501</v>
      </c>
      <c r="E3" s="2">
        <v>2191.4234410394602</v>
      </c>
      <c r="F3" s="2">
        <v>1136.05098798155</v>
      </c>
      <c r="G3" s="2">
        <v>432.91822830377799</v>
      </c>
      <c r="H3" s="2">
        <v>238.87825433010801</v>
      </c>
      <c r="I3" s="2">
        <v>338.92136522075998</v>
      </c>
      <c r="J3" s="1">
        <f t="shared" ref="J3:J9" si="0">SUM(C3:I3)</f>
        <v>10176.838115540555</v>
      </c>
    </row>
    <row r="4" spans="2:10" x14ac:dyDescent="0.25">
      <c r="B4">
        <v>2020</v>
      </c>
      <c r="C4" s="2">
        <v>6374.9727282189497</v>
      </c>
      <c r="D4" s="2">
        <v>0.51127666786732096</v>
      </c>
      <c r="E4" s="2">
        <v>2187.0421837582799</v>
      </c>
      <c r="F4" s="2">
        <v>1158.4333728838601</v>
      </c>
      <c r="G4" s="2">
        <v>376.19039664660897</v>
      </c>
      <c r="H4" s="2">
        <v>233.033848459594</v>
      </c>
      <c r="I4" s="2">
        <v>79.879712274092299</v>
      </c>
      <c r="J4" s="1">
        <f t="shared" si="0"/>
        <v>10410.063518909254</v>
      </c>
    </row>
    <row r="5" spans="2:10" x14ac:dyDescent="0.25">
      <c r="B5">
        <v>2021</v>
      </c>
      <c r="C5" s="2">
        <v>7557.6021879817799</v>
      </c>
      <c r="D5" s="2">
        <v>1.92910382445785</v>
      </c>
      <c r="E5" s="2">
        <v>2443.0814386677398</v>
      </c>
      <c r="F5" s="2">
        <v>1297.8288849046601</v>
      </c>
      <c r="G5" s="2">
        <v>364.99277945199202</v>
      </c>
      <c r="H5" s="2">
        <v>215.582858809323</v>
      </c>
      <c r="I5" s="2">
        <v>154.313243781842</v>
      </c>
      <c r="J5" s="1">
        <f t="shared" si="0"/>
        <v>12035.330497421795</v>
      </c>
    </row>
    <row r="6" spans="2:10" x14ac:dyDescent="0.25">
      <c r="B6">
        <v>2022</v>
      </c>
      <c r="C6" s="2">
        <v>7724.1451876711799</v>
      </c>
      <c r="D6" s="2">
        <v>14.238527132714699</v>
      </c>
      <c r="E6" s="2">
        <v>2610.2596561216401</v>
      </c>
      <c r="F6" s="2">
        <v>1385.2810378435499</v>
      </c>
      <c r="G6" s="2">
        <v>404.24092826572399</v>
      </c>
      <c r="H6" s="2">
        <v>206.82342675990799</v>
      </c>
      <c r="I6" s="2">
        <v>1161.2264718654101</v>
      </c>
      <c r="J6" s="1">
        <f t="shared" si="0"/>
        <v>13506.215235660125</v>
      </c>
    </row>
    <row r="7" spans="2:10" x14ac:dyDescent="0.25">
      <c r="B7">
        <v>2023</v>
      </c>
      <c r="C7" s="2">
        <v>7553.7098636996998</v>
      </c>
      <c r="D7" s="2">
        <v>18.913506241433399</v>
      </c>
      <c r="E7" s="2">
        <v>2927.9396193284101</v>
      </c>
      <c r="F7" s="2">
        <v>1384.31740705738</v>
      </c>
      <c r="G7" s="2">
        <v>446.20683436966698</v>
      </c>
      <c r="H7" s="2">
        <v>311.62050888463</v>
      </c>
      <c r="I7" s="2">
        <v>809.40079017384903</v>
      </c>
      <c r="J7" s="1">
        <f t="shared" si="0"/>
        <v>13452.108529755069</v>
      </c>
    </row>
    <row r="8" spans="2:10" x14ac:dyDescent="0.25">
      <c r="B8">
        <v>2024</v>
      </c>
      <c r="C8" s="2">
        <v>8407.6046175784395</v>
      </c>
      <c r="D8" s="2">
        <v>23.633838172759202</v>
      </c>
      <c r="E8" s="2">
        <v>3219.0418664727299</v>
      </c>
      <c r="F8" s="2">
        <v>1479.75801423246</v>
      </c>
      <c r="G8" s="2">
        <v>533.02849311955504</v>
      </c>
      <c r="H8" s="2">
        <v>302.49100926498699</v>
      </c>
      <c r="I8" s="2">
        <v>709.86537091299795</v>
      </c>
      <c r="J8" s="1">
        <f t="shared" si="0"/>
        <v>14675.423209753928</v>
      </c>
    </row>
    <row r="9" spans="2:10" x14ac:dyDescent="0.25">
      <c r="B9">
        <v>2025</v>
      </c>
      <c r="C9" s="2">
        <v>9185.7085967592393</v>
      </c>
      <c r="D9" s="2">
        <v>32.487397034695803</v>
      </c>
      <c r="E9" s="2">
        <v>3126.1020666644699</v>
      </c>
      <c r="F9" s="2">
        <v>1429.50900780285</v>
      </c>
      <c r="G9" s="2">
        <v>512.20870277818904</v>
      </c>
      <c r="H9" s="2">
        <v>291.87105584363599</v>
      </c>
      <c r="I9" s="2">
        <v>406.68565649881202</v>
      </c>
      <c r="J9" s="1">
        <f t="shared" si="0"/>
        <v>14984.572483381891</v>
      </c>
    </row>
    <row r="14" spans="2:10" x14ac:dyDescent="0.25">
      <c r="B14" s="26"/>
    </row>
    <row r="16" spans="2:10" x14ac:dyDescent="0.25">
      <c r="B16" s="3" t="str">
        <f t="shared" ref="B16:J16" si="1">B1</f>
        <v>Ano</v>
      </c>
      <c r="C16" s="3" t="str">
        <f t="shared" si="1"/>
        <v>Receitas Totais do Fundeb</v>
      </c>
      <c r="D16" s="3" t="str">
        <f t="shared" si="1"/>
        <v>Royalties da Educação</v>
      </c>
      <c r="E16" s="3" t="str">
        <f t="shared" si="1"/>
        <v>25% Receitas MDE</v>
      </c>
      <c r="F16" s="3" t="str">
        <f t="shared" si="1"/>
        <v>5% Cesta do Fundeb</v>
      </c>
      <c r="G16" s="3" t="str">
        <f t="shared" si="1"/>
        <v>Salário Educação</v>
      </c>
      <c r="H16" s="3" t="str">
        <f t="shared" si="1"/>
        <v>Programas FNDE</v>
      </c>
      <c r="I16" s="3" t="str">
        <f t="shared" si="1"/>
        <v>Outras receitas de Educação</v>
      </c>
      <c r="J16" s="3" t="str">
        <f t="shared" si="1"/>
        <v>Total</v>
      </c>
    </row>
    <row r="17" spans="1:13" x14ac:dyDescent="0.25">
      <c r="B17" s="3">
        <f t="shared" ref="B17:B24" si="2">B2</f>
        <v>2018</v>
      </c>
      <c r="C17" s="7">
        <f>C2/J2</f>
        <v>0.47600500870380225</v>
      </c>
      <c r="D17" s="7">
        <f t="shared" ref="D17:J17" si="3">D2/$J$2</f>
        <v>1.2837296774145797E-5</v>
      </c>
      <c r="E17" s="7">
        <f t="shared" si="3"/>
        <v>0.25766337088388891</v>
      </c>
      <c r="F17" s="7">
        <f t="shared" si="3"/>
        <v>0.13640753795982086</v>
      </c>
      <c r="G17" s="7">
        <f t="shared" si="3"/>
        <v>5.1642423778587437E-2</v>
      </c>
      <c r="H17" s="7">
        <f t="shared" si="3"/>
        <v>4.0024622711074508E-2</v>
      </c>
      <c r="I17" s="7">
        <f t="shared" si="3"/>
        <v>3.824419866605186E-2</v>
      </c>
      <c r="J17" s="7">
        <f t="shared" si="3"/>
        <v>1</v>
      </c>
    </row>
    <row r="18" spans="1:13" x14ac:dyDescent="0.25">
      <c r="B18" s="3">
        <f t="shared" si="2"/>
        <v>2019</v>
      </c>
      <c r="C18" s="7">
        <f t="shared" ref="C18:J18" si="4">C3/$J$3</f>
        <v>0.57369928808586379</v>
      </c>
      <c r="D18" s="7">
        <f t="shared" si="4"/>
        <v>1.9756314477824002E-5</v>
      </c>
      <c r="E18" s="7">
        <f t="shared" si="4"/>
        <v>0.21533441095943581</v>
      </c>
      <c r="F18" s="7">
        <f t="shared" si="4"/>
        <v>0.11163103658362628</v>
      </c>
      <c r="G18" s="7">
        <f t="shared" si="4"/>
        <v>4.2539561245716347E-2</v>
      </c>
      <c r="H18" s="7">
        <f t="shared" si="4"/>
        <v>2.3472737958298524E-2</v>
      </c>
      <c r="I18" s="7">
        <f t="shared" si="4"/>
        <v>3.3303208852581589E-2</v>
      </c>
      <c r="J18" s="7">
        <f t="shared" si="4"/>
        <v>1</v>
      </c>
    </row>
    <row r="19" spans="1:13" x14ac:dyDescent="0.25">
      <c r="B19" s="3">
        <f t="shared" si="2"/>
        <v>2020</v>
      </c>
      <c r="C19" s="7">
        <f t="shared" ref="C19:J19" si="5">C4/$J$4</f>
        <v>0.61238557446255693</v>
      </c>
      <c r="D19" s="7">
        <f t="shared" si="5"/>
        <v>4.9113693392803768E-5</v>
      </c>
      <c r="E19" s="7">
        <f t="shared" si="5"/>
        <v>0.21008922565992508</v>
      </c>
      <c r="F19" s="7">
        <f t="shared" si="5"/>
        <v>0.11128014452357909</v>
      </c>
      <c r="G19" s="7">
        <f t="shared" si="5"/>
        <v>3.6137185518924239E-2</v>
      </c>
      <c r="H19" s="7">
        <f t="shared" si="5"/>
        <v>2.2385439631208977E-2</v>
      </c>
      <c r="I19" s="7">
        <f t="shared" si="5"/>
        <v>7.6733165104127957E-3</v>
      </c>
      <c r="J19" s="7">
        <f t="shared" si="5"/>
        <v>1</v>
      </c>
    </row>
    <row r="20" spans="1:13" x14ac:dyDescent="0.25">
      <c r="B20" s="3">
        <f t="shared" si="2"/>
        <v>2021</v>
      </c>
      <c r="C20" s="7">
        <f t="shared" ref="C20:J20" si="6">C5/$J$5</f>
        <v>0.62795136283135444</v>
      </c>
      <c r="D20" s="7">
        <f t="shared" si="6"/>
        <v>1.6028673453305682E-4</v>
      </c>
      <c r="E20" s="7">
        <f t="shared" si="6"/>
        <v>0.20299246781723992</v>
      </c>
      <c r="F20" s="7">
        <f t="shared" si="6"/>
        <v>0.1078349186324946</v>
      </c>
      <c r="G20" s="7">
        <f t="shared" si="6"/>
        <v>3.0326776612422952E-2</v>
      </c>
      <c r="H20" s="7">
        <f t="shared" si="6"/>
        <v>1.7912500105876202E-2</v>
      </c>
      <c r="I20" s="7">
        <f t="shared" si="6"/>
        <v>1.2821687266078729E-2</v>
      </c>
      <c r="J20" s="7">
        <f t="shared" si="6"/>
        <v>1</v>
      </c>
    </row>
    <row r="21" spans="1:13" x14ac:dyDescent="0.25">
      <c r="B21" s="3">
        <f t="shared" si="2"/>
        <v>2022</v>
      </c>
      <c r="C21" s="7">
        <f t="shared" ref="C21:J21" si="7">C6/$J$6</f>
        <v>0.57189560901393832</v>
      </c>
      <c r="D21" s="7">
        <f t="shared" si="7"/>
        <v>1.0542203633125192E-3</v>
      </c>
      <c r="E21" s="7">
        <f t="shared" si="7"/>
        <v>0.19326359091552431</v>
      </c>
      <c r="F21" s="7">
        <f t="shared" si="7"/>
        <v>0.10256618998533555</v>
      </c>
      <c r="G21" s="7">
        <f t="shared" si="7"/>
        <v>2.9929993059670534E-2</v>
      </c>
      <c r="H21" s="7">
        <f t="shared" si="7"/>
        <v>1.531320382144046E-2</v>
      </c>
      <c r="I21" s="7">
        <f t="shared" si="7"/>
        <v>8.5977192840778413E-2</v>
      </c>
      <c r="J21" s="7">
        <f t="shared" si="7"/>
        <v>1</v>
      </c>
    </row>
    <row r="22" spans="1:13" x14ac:dyDescent="0.25">
      <c r="B22" s="3">
        <f t="shared" si="2"/>
        <v>2023</v>
      </c>
      <c r="C22" s="7">
        <f t="shared" ref="C22:J22" si="8">C7/$J$7</f>
        <v>0.56152608693213057</v>
      </c>
      <c r="D22" s="7">
        <f t="shared" si="8"/>
        <v>1.4059882285069379E-3</v>
      </c>
      <c r="E22" s="7">
        <f t="shared" si="8"/>
        <v>0.21765655643143408</v>
      </c>
      <c r="F22" s="7">
        <f t="shared" si="8"/>
        <v>0.10290709474989533</v>
      </c>
      <c r="G22" s="7">
        <f t="shared" si="8"/>
        <v>3.3170029321625709E-2</v>
      </c>
      <c r="H22" s="7">
        <f t="shared" si="8"/>
        <v>2.3165179510360661E-2</v>
      </c>
      <c r="I22" s="7">
        <f t="shared" si="8"/>
        <v>6.0169064826046739E-2</v>
      </c>
      <c r="J22" s="7">
        <f t="shared" si="8"/>
        <v>1</v>
      </c>
    </row>
    <row r="23" spans="1:13" x14ac:dyDescent="0.25">
      <c r="B23" s="3">
        <f t="shared" si="2"/>
        <v>2024</v>
      </c>
      <c r="C23" s="7">
        <f t="shared" ref="C23:J23" si="9">C8/$J$8</f>
        <v>0.57290372464286943</v>
      </c>
      <c r="D23" s="7">
        <f t="shared" si="9"/>
        <v>1.6104365669707651E-3</v>
      </c>
      <c r="E23" s="7">
        <f t="shared" si="9"/>
        <v>0.21934916768418738</v>
      </c>
      <c r="F23" s="7">
        <f t="shared" si="9"/>
        <v>0.10083239120824455</v>
      </c>
      <c r="G23" s="7">
        <f t="shared" si="9"/>
        <v>3.6321166722148156E-2</v>
      </c>
      <c r="H23" s="7">
        <f t="shared" si="9"/>
        <v>2.0612080819852489E-2</v>
      </c>
      <c r="I23" s="7">
        <f t="shared" si="9"/>
        <v>4.8371032355727255E-2</v>
      </c>
      <c r="J23" s="7">
        <f t="shared" si="9"/>
        <v>1</v>
      </c>
    </row>
    <row r="24" spans="1:13" x14ac:dyDescent="0.25">
      <c r="B24" s="3">
        <f t="shared" si="2"/>
        <v>2025</v>
      </c>
      <c r="C24" s="7">
        <f t="shared" ref="C24:J24" si="10">C9/$J$9</f>
        <v>0.61301105566717529</v>
      </c>
      <c r="D24" s="7">
        <f t="shared" si="10"/>
        <v>2.1680563173040006E-3</v>
      </c>
      <c r="E24" s="7">
        <f t="shared" si="10"/>
        <v>0.20862137175627549</v>
      </c>
      <c r="F24" s="7">
        <f t="shared" si="10"/>
        <v>9.5398718207556216E-2</v>
      </c>
      <c r="G24" s="7">
        <f t="shared" si="10"/>
        <v>3.4182403491740315E-2</v>
      </c>
      <c r="H24" s="7">
        <f t="shared" si="10"/>
        <v>1.9478103640749526E-2</v>
      </c>
      <c r="I24" s="7">
        <f t="shared" si="10"/>
        <v>2.7140290919199218E-2</v>
      </c>
      <c r="J24" s="7">
        <f t="shared" si="10"/>
        <v>1</v>
      </c>
    </row>
    <row r="25" spans="1:13" x14ac:dyDescent="0.25">
      <c r="B25" s="18"/>
      <c r="C25" s="18"/>
      <c r="D25" s="18"/>
      <c r="E25" s="18"/>
      <c r="F25" s="18"/>
      <c r="G25" s="18"/>
      <c r="H25" s="18"/>
      <c r="I25" s="18"/>
      <c r="J25" s="18"/>
      <c r="K25" s="18"/>
    </row>
    <row r="26" spans="1:13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</row>
    <row r="27" spans="1:13" x14ac:dyDescent="0.25">
      <c r="A27" s="15"/>
      <c r="B27" s="18"/>
      <c r="C27" s="18"/>
      <c r="D27" s="18"/>
      <c r="E27" s="18"/>
      <c r="F27" s="18"/>
      <c r="G27" s="18"/>
      <c r="H27" s="18"/>
      <c r="I27" s="18"/>
      <c r="J27" s="18"/>
      <c r="K27" s="15"/>
      <c r="L27" s="15"/>
      <c r="M27" s="15"/>
    </row>
    <row r="28" spans="1:13" x14ac:dyDescent="0.25">
      <c r="A28" s="19"/>
      <c r="B28" s="11" t="s">
        <v>16</v>
      </c>
      <c r="C28" s="11" t="s">
        <v>18</v>
      </c>
      <c r="D28" s="11" t="s">
        <v>19</v>
      </c>
      <c r="E28" s="11" t="s">
        <v>20</v>
      </c>
      <c r="F28" s="11" t="s">
        <v>21</v>
      </c>
      <c r="G28" s="11" t="s">
        <v>22</v>
      </c>
      <c r="H28" s="11" t="s">
        <v>23</v>
      </c>
      <c r="I28" s="11" t="s">
        <v>24</v>
      </c>
      <c r="J28" s="11" t="s">
        <v>25</v>
      </c>
      <c r="K28" s="19"/>
    </row>
    <row r="29" spans="1:13" x14ac:dyDescent="0.25">
      <c r="A29" s="15"/>
      <c r="B29" s="16">
        <v>2018</v>
      </c>
      <c r="C29" s="10">
        <v>0.47600500870380225</v>
      </c>
      <c r="D29" s="10">
        <v>1.2837296774145797E-5</v>
      </c>
      <c r="E29" s="10">
        <v>0.25766337088388891</v>
      </c>
      <c r="F29" s="10">
        <v>0.13640753795982086</v>
      </c>
      <c r="G29" s="10">
        <v>5.1642423778587437E-2</v>
      </c>
      <c r="H29" s="10">
        <v>4.0024622711074508E-2</v>
      </c>
      <c r="I29" s="10">
        <v>3.824419866605186E-2</v>
      </c>
      <c r="J29" s="13">
        <v>1</v>
      </c>
      <c r="K29" s="15"/>
    </row>
    <row r="30" spans="1:13" x14ac:dyDescent="0.25">
      <c r="A30" s="15"/>
      <c r="B30" s="17">
        <v>2019</v>
      </c>
      <c r="C30" s="9">
        <v>0.57369928808586379</v>
      </c>
      <c r="D30" s="9">
        <v>1.9756314477824002E-5</v>
      </c>
      <c r="E30" s="9">
        <v>0.21533441095943581</v>
      </c>
      <c r="F30" s="9">
        <v>0.11163103658362628</v>
      </c>
      <c r="G30" s="9">
        <v>4.2539561245716347E-2</v>
      </c>
      <c r="H30" s="9">
        <v>2.3472737958298524E-2</v>
      </c>
      <c r="I30" s="9">
        <v>3.3303208852581589E-2</v>
      </c>
      <c r="J30" s="14">
        <v>1</v>
      </c>
      <c r="K30" s="15"/>
    </row>
    <row r="31" spans="1:13" x14ac:dyDescent="0.25">
      <c r="A31" s="15"/>
      <c r="B31" s="17">
        <v>2020</v>
      </c>
      <c r="C31" s="9">
        <v>0.61238557446255693</v>
      </c>
      <c r="D31" s="9">
        <v>4.9113693392803768E-5</v>
      </c>
      <c r="E31" s="9">
        <v>0.21008922565992508</v>
      </c>
      <c r="F31" s="9">
        <v>0.11128014452357909</v>
      </c>
      <c r="G31" s="9">
        <v>3.6137185518924239E-2</v>
      </c>
      <c r="H31" s="9">
        <v>2.2385439631208977E-2</v>
      </c>
      <c r="I31" s="9">
        <v>7.6733165104127957E-3</v>
      </c>
      <c r="J31" s="14">
        <v>1</v>
      </c>
      <c r="K31" s="15"/>
    </row>
    <row r="32" spans="1:13" x14ac:dyDescent="0.25">
      <c r="A32" s="15"/>
      <c r="B32" s="17">
        <v>2021</v>
      </c>
      <c r="C32" s="9">
        <v>0.62795136283135444</v>
      </c>
      <c r="D32" s="9">
        <v>1.6028673453305682E-4</v>
      </c>
      <c r="E32" s="9">
        <v>0.20299246781723992</v>
      </c>
      <c r="F32" s="9">
        <v>0.1078349186324946</v>
      </c>
      <c r="G32" s="9">
        <v>3.0326776612422952E-2</v>
      </c>
      <c r="H32" s="9">
        <v>1.7912500105876202E-2</v>
      </c>
      <c r="I32" s="9">
        <v>1.2821687266078729E-2</v>
      </c>
      <c r="J32" s="14">
        <v>1</v>
      </c>
      <c r="K32" s="15"/>
    </row>
    <row r="33" spans="1:11" x14ac:dyDescent="0.25">
      <c r="A33" s="15"/>
      <c r="B33" s="17">
        <v>2022</v>
      </c>
      <c r="C33" s="9">
        <v>0.57189560901393832</v>
      </c>
      <c r="D33" s="9">
        <v>1.0542203633125192E-3</v>
      </c>
      <c r="E33" s="9">
        <v>0.19326359091552431</v>
      </c>
      <c r="F33" s="9">
        <v>0.10256618998533555</v>
      </c>
      <c r="G33" s="9">
        <v>2.9929993059670534E-2</v>
      </c>
      <c r="H33" s="9">
        <v>1.531320382144046E-2</v>
      </c>
      <c r="I33" s="9">
        <v>8.5977192840778413E-2</v>
      </c>
      <c r="J33" s="14">
        <v>1</v>
      </c>
      <c r="K33" s="15"/>
    </row>
    <row r="34" spans="1:11" x14ac:dyDescent="0.25">
      <c r="A34" s="15"/>
      <c r="B34" s="17">
        <v>2023</v>
      </c>
      <c r="C34" s="9">
        <v>0.56152608693213057</v>
      </c>
      <c r="D34" s="9">
        <v>1.4059882285069379E-3</v>
      </c>
      <c r="E34" s="9">
        <v>0.21765655643143408</v>
      </c>
      <c r="F34" s="9">
        <v>0.10290709474989533</v>
      </c>
      <c r="G34" s="9">
        <v>3.3170029321625709E-2</v>
      </c>
      <c r="H34" s="9">
        <v>2.3165179510360661E-2</v>
      </c>
      <c r="I34" s="9">
        <v>6.0169064826046739E-2</v>
      </c>
      <c r="J34" s="14">
        <v>1</v>
      </c>
      <c r="K34" s="15"/>
    </row>
    <row r="35" spans="1:11" x14ac:dyDescent="0.25">
      <c r="A35" s="15"/>
      <c r="B35" s="17">
        <v>2024</v>
      </c>
      <c r="C35" s="9">
        <v>0.57290372464286943</v>
      </c>
      <c r="D35" s="9">
        <v>1.6104365669707651E-3</v>
      </c>
      <c r="E35" s="9">
        <v>0.21934916768418738</v>
      </c>
      <c r="F35" s="9">
        <v>0.10083239120824455</v>
      </c>
      <c r="G35" s="9">
        <v>3.6321166722148156E-2</v>
      </c>
      <c r="H35" s="9">
        <v>2.0612080819852489E-2</v>
      </c>
      <c r="I35" s="9">
        <v>4.8371032355727255E-2</v>
      </c>
      <c r="J35" s="14">
        <v>1</v>
      </c>
      <c r="K35" s="15"/>
    </row>
    <row r="36" spans="1:11" x14ac:dyDescent="0.25">
      <c r="A36" s="15"/>
      <c r="B36" s="23">
        <v>2025</v>
      </c>
      <c r="C36" s="24">
        <v>0.61301105566717529</v>
      </c>
      <c r="D36" s="24">
        <v>2.1680563173040006E-3</v>
      </c>
      <c r="E36" s="24">
        <v>0.20862137175627549</v>
      </c>
      <c r="F36" s="24">
        <v>9.5398718207556216E-2</v>
      </c>
      <c r="G36" s="24">
        <v>3.4182403491740315E-2</v>
      </c>
      <c r="H36" s="24">
        <v>1.9478103640749526E-2</v>
      </c>
      <c r="I36" s="24">
        <v>2.7140290919199218E-2</v>
      </c>
      <c r="J36" s="25">
        <v>1</v>
      </c>
      <c r="K36" s="15"/>
    </row>
    <row r="37" spans="1:11" x14ac:dyDescent="0.25">
      <c r="A37" s="20"/>
      <c r="B37" s="27"/>
      <c r="C37" s="27"/>
      <c r="D37" s="27"/>
      <c r="E37" s="27"/>
      <c r="F37" s="27"/>
      <c r="G37" s="27"/>
      <c r="H37" s="27"/>
      <c r="I37" s="27"/>
      <c r="J37" s="27"/>
      <c r="K37" s="21"/>
    </row>
    <row r="38" spans="1:11" x14ac:dyDescent="0.25">
      <c r="B38" s="15"/>
      <c r="C38" s="15"/>
      <c r="D38" s="15"/>
      <c r="E38" s="15"/>
      <c r="F38" s="15"/>
      <c r="G38" s="15"/>
      <c r="H38" s="15"/>
      <c r="I38" s="15"/>
      <c r="J38" s="15"/>
      <c r="K38" s="22"/>
    </row>
    <row r="39" spans="1:11" x14ac:dyDescent="0.25">
      <c r="B39" s="19"/>
      <c r="C39" s="19"/>
      <c r="D39" s="19"/>
      <c r="E39" s="19"/>
      <c r="F39" s="19"/>
      <c r="G39" s="19"/>
      <c r="H39" s="19"/>
      <c r="I39" s="19"/>
      <c r="J39" s="19"/>
      <c r="K39" s="15"/>
    </row>
    <row r="40" spans="1:11" x14ac:dyDescent="0.25">
      <c r="B40" s="15"/>
      <c r="C40" s="15"/>
      <c r="D40" s="15"/>
      <c r="E40" s="15"/>
      <c r="F40" s="15"/>
      <c r="G40" s="15"/>
      <c r="H40" s="15"/>
      <c r="I40" s="15"/>
      <c r="J40" s="15"/>
      <c r="K40" s="15"/>
    </row>
    <row r="41" spans="1:11" x14ac:dyDescent="0.25">
      <c r="B41" s="15"/>
      <c r="C41" s="15"/>
      <c r="D41" s="15"/>
      <c r="E41" s="15"/>
      <c r="F41" s="15"/>
      <c r="G41" s="15"/>
      <c r="H41" s="15"/>
      <c r="I41" s="15"/>
      <c r="J41" s="15"/>
      <c r="K41" s="15"/>
    </row>
    <row r="42" spans="1:11" x14ac:dyDescent="0.25">
      <c r="B42" s="15"/>
      <c r="C42" s="15"/>
      <c r="D42" s="15"/>
      <c r="E42" s="15"/>
      <c r="F42" s="15"/>
      <c r="G42" s="15"/>
      <c r="H42" s="15"/>
      <c r="I42" s="15"/>
      <c r="J42" s="15"/>
      <c r="K42" s="15"/>
    </row>
    <row r="47" spans="1:11" x14ac:dyDescent="0.25">
      <c r="B47" s="18"/>
      <c r="C47" s="18"/>
      <c r="D47" s="18"/>
      <c r="E47" s="18"/>
      <c r="F47" s="18"/>
      <c r="G47" s="18"/>
      <c r="H47" s="18"/>
      <c r="I47" s="18"/>
      <c r="J47" s="18"/>
      <c r="K47" s="18"/>
    </row>
    <row r="48" spans="1:11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</row>
    <row r="49" spans="1:11" x14ac:dyDescent="0.25">
      <c r="A49" s="15"/>
      <c r="B49" s="18"/>
      <c r="C49" s="18"/>
      <c r="D49" s="18"/>
      <c r="E49" s="18"/>
      <c r="F49" s="18"/>
      <c r="G49" s="18"/>
      <c r="H49" s="18"/>
      <c r="I49" s="18"/>
      <c r="J49" s="18"/>
      <c r="K49" s="15"/>
    </row>
    <row r="50" spans="1:11" x14ac:dyDescent="0.25">
      <c r="A50" s="19"/>
      <c r="B50" s="11" t="s">
        <v>16</v>
      </c>
      <c r="C50" s="11" t="s">
        <v>18</v>
      </c>
      <c r="D50" s="11" t="s">
        <v>19</v>
      </c>
      <c r="E50" s="11" t="s">
        <v>20</v>
      </c>
      <c r="F50" s="11" t="s">
        <v>21</v>
      </c>
      <c r="G50" s="11" t="s">
        <v>22</v>
      </c>
      <c r="H50" s="11" t="s">
        <v>23</v>
      </c>
      <c r="I50" s="11" t="s">
        <v>24</v>
      </c>
      <c r="J50" s="11" t="s">
        <v>25</v>
      </c>
      <c r="K50" s="19"/>
    </row>
    <row r="51" spans="1:11" x14ac:dyDescent="0.25">
      <c r="A51" s="15"/>
      <c r="B51" s="16">
        <v>2018</v>
      </c>
      <c r="C51" s="28">
        <v>3743.0389243429599</v>
      </c>
      <c r="D51" s="28">
        <v>0.10094536954519701</v>
      </c>
      <c r="E51" s="28">
        <v>2026.1215931783299</v>
      </c>
      <c r="F51" s="28">
        <v>1072.63309171419</v>
      </c>
      <c r="G51" s="28">
        <v>406.08732852840501</v>
      </c>
      <c r="H51" s="28">
        <v>314.73139567931702</v>
      </c>
      <c r="I51" s="28">
        <v>300.73113017685301</v>
      </c>
      <c r="J51" s="29">
        <v>7863.4444089896006</v>
      </c>
      <c r="K51" s="15"/>
    </row>
    <row r="52" spans="1:11" x14ac:dyDescent="0.25">
      <c r="A52" s="15"/>
      <c r="B52" s="17">
        <v>2019</v>
      </c>
      <c r="C52" s="30">
        <v>5838.4447818506997</v>
      </c>
      <c r="D52" s="30">
        <v>0.20105681420052501</v>
      </c>
      <c r="E52" s="30">
        <v>2191.4234410394602</v>
      </c>
      <c r="F52" s="30">
        <v>1136.05098798155</v>
      </c>
      <c r="G52" s="30">
        <v>432.91822830377799</v>
      </c>
      <c r="H52" s="30">
        <v>238.87825433010801</v>
      </c>
      <c r="I52" s="30">
        <v>338.92136522075998</v>
      </c>
      <c r="J52" s="31">
        <v>10176.838115540555</v>
      </c>
      <c r="K52" s="15"/>
    </row>
    <row r="53" spans="1:11" x14ac:dyDescent="0.25">
      <c r="A53" s="15"/>
      <c r="B53" s="17">
        <v>2020</v>
      </c>
      <c r="C53" s="30">
        <v>6374.9727282189497</v>
      </c>
      <c r="D53" s="30">
        <v>0.51127666786732096</v>
      </c>
      <c r="E53" s="30">
        <v>2187.0421837582799</v>
      </c>
      <c r="F53" s="30">
        <v>1158.4333728838601</v>
      </c>
      <c r="G53" s="30">
        <v>376.19039664660897</v>
      </c>
      <c r="H53" s="30">
        <v>233.033848459594</v>
      </c>
      <c r="I53" s="30">
        <v>79.879712274092299</v>
      </c>
      <c r="J53" s="31">
        <v>10410.063518909254</v>
      </c>
      <c r="K53" s="15"/>
    </row>
    <row r="54" spans="1:11" x14ac:dyDescent="0.25">
      <c r="A54" s="15"/>
      <c r="B54" s="17">
        <v>2021</v>
      </c>
      <c r="C54" s="30">
        <v>7557.6021879817799</v>
      </c>
      <c r="D54" s="30">
        <v>1.92910382445785</v>
      </c>
      <c r="E54" s="30">
        <v>2443.0814386677398</v>
      </c>
      <c r="F54" s="30">
        <v>1297.8288849046601</v>
      </c>
      <c r="G54" s="30">
        <v>364.99277945199202</v>
      </c>
      <c r="H54" s="30">
        <v>215.582858809323</v>
      </c>
      <c r="I54" s="30">
        <v>154.313243781842</v>
      </c>
      <c r="J54" s="31">
        <v>12035.330497421795</v>
      </c>
      <c r="K54" s="15"/>
    </row>
    <row r="55" spans="1:11" x14ac:dyDescent="0.25">
      <c r="A55" s="15"/>
      <c r="B55" s="17">
        <v>2022</v>
      </c>
      <c r="C55" s="30">
        <v>7724.1451876711799</v>
      </c>
      <c r="D55" s="30">
        <v>14.238527132714699</v>
      </c>
      <c r="E55" s="30">
        <v>2610.2596561216401</v>
      </c>
      <c r="F55" s="30">
        <v>1385.2810378435499</v>
      </c>
      <c r="G55" s="30">
        <v>404.24092826572399</v>
      </c>
      <c r="H55" s="30">
        <v>206.82342675990799</v>
      </c>
      <c r="I55" s="30">
        <v>1161.2264718654101</v>
      </c>
      <c r="J55" s="31">
        <v>13506.215235660125</v>
      </c>
      <c r="K55" s="15"/>
    </row>
    <row r="56" spans="1:11" x14ac:dyDescent="0.25">
      <c r="A56" s="15"/>
      <c r="B56" s="17">
        <v>2023</v>
      </c>
      <c r="C56" s="30">
        <v>7553.7098636996998</v>
      </c>
      <c r="D56" s="30">
        <v>18.913506241433399</v>
      </c>
      <c r="E56" s="30">
        <v>2927.9396193284101</v>
      </c>
      <c r="F56" s="30">
        <v>1384.31740705738</v>
      </c>
      <c r="G56" s="30">
        <v>446.20683436966698</v>
      </c>
      <c r="H56" s="30">
        <v>311.62050888463</v>
      </c>
      <c r="I56" s="30">
        <v>809.40079017384903</v>
      </c>
      <c r="J56" s="31">
        <v>13452.108529755069</v>
      </c>
      <c r="K56" s="15"/>
    </row>
    <row r="57" spans="1:11" x14ac:dyDescent="0.25">
      <c r="A57" s="15"/>
      <c r="B57" s="17">
        <v>2024</v>
      </c>
      <c r="C57" s="30">
        <v>8407.6046175784395</v>
      </c>
      <c r="D57" s="30">
        <v>23.633838172759202</v>
      </c>
      <c r="E57" s="30">
        <v>3219.0418664727299</v>
      </c>
      <c r="F57" s="30">
        <v>1479.75801423246</v>
      </c>
      <c r="G57" s="30">
        <v>533.02849311955504</v>
      </c>
      <c r="H57" s="30">
        <v>302.49100926498699</v>
      </c>
      <c r="I57" s="30">
        <v>709.86537091299795</v>
      </c>
      <c r="J57" s="31">
        <v>14675.423209753928</v>
      </c>
      <c r="K57" s="15"/>
    </row>
    <row r="58" spans="1:11" x14ac:dyDescent="0.25">
      <c r="A58" s="15"/>
      <c r="B58" s="23">
        <v>2025</v>
      </c>
      <c r="C58" s="32">
        <v>9185.7085967592393</v>
      </c>
      <c r="D58" s="32">
        <v>32.487397034695803</v>
      </c>
      <c r="E58" s="32">
        <v>3126.1020666644699</v>
      </c>
      <c r="F58" s="32">
        <v>1429.50900780285</v>
      </c>
      <c r="G58" s="32">
        <v>512.20870277818904</v>
      </c>
      <c r="H58" s="32">
        <v>291.87105584363599</v>
      </c>
      <c r="I58" s="32">
        <v>406.68565649881202</v>
      </c>
      <c r="J58" s="33">
        <v>14984.572483381891</v>
      </c>
      <c r="K58" s="15"/>
    </row>
    <row r="59" spans="1:11" x14ac:dyDescent="0.25">
      <c r="A59" s="20"/>
      <c r="B59" s="27"/>
      <c r="C59" s="27"/>
      <c r="D59" s="27"/>
      <c r="E59" s="27"/>
      <c r="F59" s="27"/>
      <c r="G59" s="27"/>
      <c r="H59" s="27"/>
      <c r="I59" s="27"/>
      <c r="J59" s="27"/>
      <c r="K59" s="21"/>
    </row>
    <row r="60" spans="1:11" x14ac:dyDescent="0.25">
      <c r="B60" s="15"/>
      <c r="C60" s="15"/>
      <c r="D60" s="15"/>
      <c r="E60" s="15"/>
      <c r="F60" s="15"/>
      <c r="G60" s="15"/>
      <c r="H60" s="15"/>
      <c r="I60" s="15"/>
      <c r="J60" s="15"/>
      <c r="K60" s="22"/>
    </row>
    <row r="61" spans="1:11" x14ac:dyDescent="0.25">
      <c r="B61" s="19"/>
      <c r="C61" s="19"/>
      <c r="D61" s="19"/>
      <c r="E61" s="19"/>
      <c r="F61" s="19"/>
      <c r="G61" s="19"/>
      <c r="H61" s="19"/>
      <c r="I61" s="19"/>
      <c r="J61" s="19"/>
      <c r="K61" s="15"/>
    </row>
    <row r="62" spans="1:11" x14ac:dyDescent="0.25">
      <c r="B62" s="15"/>
      <c r="C62" s="15"/>
      <c r="D62" s="15"/>
      <c r="E62" s="15"/>
      <c r="F62" s="15"/>
      <c r="G62" s="15"/>
      <c r="H62" s="15"/>
      <c r="I62" s="15"/>
      <c r="J62" s="15"/>
      <c r="K62" s="15"/>
    </row>
    <row r="63" spans="1:11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</row>
    <row r="64" spans="1:11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</row>
  </sheetData>
  <pageMargins left="0.7" right="0.7" top="0.75" bottom="0.75" header="0.3" footer="0.3"/>
  <pageSetup paperSize="9" orientation="portrait" horizontalDpi="300" verticalDpi="300"/>
  <ignoredErrors>
    <ignoredError sqref="J2:J9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workbookViewId="0">
      <selection activeCell="D31" sqref="D31"/>
    </sheetView>
  </sheetViews>
  <sheetFormatPr defaultColWidth="11.425781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2018</v>
      </c>
      <c r="B2">
        <v>0.47600500870380302</v>
      </c>
      <c r="C2">
        <v>1.28372967741458E-5</v>
      </c>
      <c r="D2">
        <v>0.25766337088388902</v>
      </c>
      <c r="E2">
        <v>0.136407537959821</v>
      </c>
      <c r="F2">
        <v>5.1642423778587403E-2</v>
      </c>
      <c r="G2">
        <v>4.0024622711074501E-2</v>
      </c>
      <c r="H2">
        <v>3.8244198666051797E-2</v>
      </c>
    </row>
    <row r="3" spans="1:8" x14ac:dyDescent="0.25">
      <c r="A3">
        <v>2019</v>
      </c>
      <c r="B3">
        <v>0.57369928808586401</v>
      </c>
      <c r="C3">
        <v>1.9756314477823999E-5</v>
      </c>
      <c r="D3">
        <v>0.21533441095943601</v>
      </c>
      <c r="E3">
        <v>0.111631036583626</v>
      </c>
      <c r="F3">
        <v>4.2539561245716402E-2</v>
      </c>
      <c r="G3">
        <v>2.34727379582985E-2</v>
      </c>
      <c r="H3">
        <v>3.3303208852581603E-2</v>
      </c>
    </row>
    <row r="4" spans="1:8" x14ac:dyDescent="0.25">
      <c r="A4">
        <v>2020</v>
      </c>
      <c r="B4">
        <v>0.61238557446255704</v>
      </c>
      <c r="C4">
        <v>4.9113693392803802E-5</v>
      </c>
      <c r="D4">
        <v>0.21008922565992599</v>
      </c>
      <c r="E4">
        <v>0.111280144523579</v>
      </c>
      <c r="F4">
        <v>3.6137185518924302E-2</v>
      </c>
      <c r="G4">
        <v>2.2385439631208998E-2</v>
      </c>
      <c r="H4">
        <v>7.6733165104128E-3</v>
      </c>
    </row>
    <row r="5" spans="1:8" x14ac:dyDescent="0.25">
      <c r="A5">
        <v>2021</v>
      </c>
      <c r="B5">
        <v>0.627951362831354</v>
      </c>
      <c r="C5">
        <v>1.6028673453305701E-4</v>
      </c>
      <c r="D5">
        <v>0.20299246781724001</v>
      </c>
      <c r="E5">
        <v>0.107834918632495</v>
      </c>
      <c r="F5">
        <v>3.0326776612423001E-2</v>
      </c>
      <c r="G5">
        <v>1.7912500105876202E-2</v>
      </c>
      <c r="H5">
        <v>1.28216872660788E-2</v>
      </c>
    </row>
    <row r="6" spans="1:8" x14ac:dyDescent="0.25">
      <c r="A6">
        <v>2022</v>
      </c>
      <c r="B6">
        <v>0.57189560901393799</v>
      </c>
      <c r="C6">
        <v>1.0542203633125201E-3</v>
      </c>
      <c r="D6">
        <v>0.193263590915524</v>
      </c>
      <c r="E6">
        <v>0.102566189985336</v>
      </c>
      <c r="F6">
        <v>2.99299930596705E-2</v>
      </c>
      <c r="G6">
        <v>1.53132038214405E-2</v>
      </c>
      <c r="H6">
        <v>8.5977192840778496E-2</v>
      </c>
    </row>
    <row r="7" spans="1:8" x14ac:dyDescent="0.25">
      <c r="A7">
        <v>2023</v>
      </c>
      <c r="B7">
        <v>0.56152608693213102</v>
      </c>
      <c r="C7">
        <v>1.4059882285069401E-3</v>
      </c>
      <c r="D7">
        <v>0.217656556431434</v>
      </c>
      <c r="E7">
        <v>0.102907094749895</v>
      </c>
      <c r="F7">
        <v>3.3170029321625702E-2</v>
      </c>
      <c r="G7">
        <v>2.3165179510360699E-2</v>
      </c>
      <c r="H7">
        <v>6.0169064826046802E-2</v>
      </c>
    </row>
    <row r="8" spans="1:8" x14ac:dyDescent="0.25">
      <c r="A8">
        <v>2024</v>
      </c>
      <c r="B8">
        <v>0.57290372464286898</v>
      </c>
      <c r="C8">
        <v>1.6104365669707701E-3</v>
      </c>
      <c r="D8">
        <v>0.219349167684187</v>
      </c>
      <c r="E8">
        <v>0.100832391208245</v>
      </c>
      <c r="F8">
        <v>3.63211667221481E-2</v>
      </c>
      <c r="G8">
        <v>2.06120808198525E-2</v>
      </c>
      <c r="H8">
        <v>4.8371032355727199E-2</v>
      </c>
    </row>
    <row r="9" spans="1:8" x14ac:dyDescent="0.25">
      <c r="A9">
        <v>2025</v>
      </c>
      <c r="B9">
        <v>0.61301105566717495</v>
      </c>
      <c r="C9">
        <v>2.1680563173040002E-3</v>
      </c>
      <c r="D9">
        <v>0.20862137175627599</v>
      </c>
      <c r="E9">
        <v>9.5398718207556493E-2</v>
      </c>
      <c r="F9">
        <v>3.4182403491740301E-2</v>
      </c>
      <c r="G9">
        <v>1.9478103640749499E-2</v>
      </c>
      <c r="H9">
        <v>2.71402909191992E-2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DD4CB-6849-4593-83AF-F51E74816AB8}">
  <dimension ref="A1:B9"/>
  <sheetViews>
    <sheetView topLeftCell="C1" zoomScale="85" zoomScaleNormal="85" workbookViewId="0">
      <selection activeCell="Y8" sqref="Y8"/>
    </sheetView>
  </sheetViews>
  <sheetFormatPr defaultRowHeight="15" x14ac:dyDescent="0.25"/>
  <sheetData>
    <row r="1" spans="1:2" x14ac:dyDescent="0.25">
      <c r="A1" t="s">
        <v>16</v>
      </c>
      <c r="B1" t="s">
        <v>26</v>
      </c>
    </row>
    <row r="2" spans="1:2" x14ac:dyDescent="0.25">
      <c r="A2">
        <v>2018</v>
      </c>
      <c r="B2" s="6">
        <v>0.46691041900000002</v>
      </c>
    </row>
    <row r="3" spans="1:2" x14ac:dyDescent="0.25">
      <c r="A3">
        <v>2019</v>
      </c>
      <c r="B3" s="6">
        <v>0.47832596799999999</v>
      </c>
    </row>
    <row r="4" spans="1:2" x14ac:dyDescent="0.25">
      <c r="A4">
        <v>2020</v>
      </c>
      <c r="B4" s="6">
        <v>0.49298979599999998</v>
      </c>
    </row>
    <row r="5" spans="1:2" x14ac:dyDescent="0.25">
      <c r="A5">
        <v>2021</v>
      </c>
      <c r="B5" s="6">
        <v>0.49517646199999998</v>
      </c>
    </row>
    <row r="6" spans="1:2" x14ac:dyDescent="0.25">
      <c r="A6">
        <v>2022</v>
      </c>
      <c r="B6" s="6">
        <v>0.51094611199999995</v>
      </c>
    </row>
    <row r="7" spans="1:2" x14ac:dyDescent="0.25">
      <c r="A7">
        <v>2023</v>
      </c>
      <c r="B7" s="6">
        <v>0.52651707599999997</v>
      </c>
    </row>
    <row r="8" spans="1:2" x14ac:dyDescent="0.25">
      <c r="A8">
        <v>2024</v>
      </c>
      <c r="B8" s="6">
        <v>0.545458467</v>
      </c>
    </row>
    <row r="9" spans="1:2" x14ac:dyDescent="0.25">
      <c r="A9">
        <v>2025</v>
      </c>
      <c r="B9" s="6">
        <v>0.57037207599999995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47"/>
  <sheetViews>
    <sheetView tabSelected="1" topLeftCell="A11" zoomScale="85" zoomScaleNormal="85" workbookViewId="0">
      <selection activeCell="E63" sqref="E63"/>
    </sheetView>
  </sheetViews>
  <sheetFormatPr defaultColWidth="11.42578125" defaultRowHeight="15" x14ac:dyDescent="0.25"/>
  <cols>
    <col min="2" max="2" width="30.5703125" customWidth="1"/>
    <col min="3" max="4" width="16.42578125" bestFit="1" customWidth="1"/>
    <col min="13" max="13" width="35" customWidth="1"/>
  </cols>
  <sheetData>
    <row r="1" spans="1:20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 spans="1:20" x14ac:dyDescent="0.25">
      <c r="A2">
        <v>2018</v>
      </c>
      <c r="B2">
        <v>6653992809.7266302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</row>
    <row r="3" spans="1:20" x14ac:dyDescent="0.25">
      <c r="A3">
        <v>2019</v>
      </c>
      <c r="B3">
        <v>10207358850.554399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</row>
    <row r="4" spans="1:20" x14ac:dyDescent="0.25">
      <c r="A4">
        <v>2020</v>
      </c>
      <c r="B4">
        <v>11103882873.2027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</row>
    <row r="5" spans="1:20" x14ac:dyDescent="0.25">
      <c r="A5">
        <v>2021</v>
      </c>
      <c r="B5">
        <v>13127722293.7012</v>
      </c>
      <c r="C5">
        <v>0</v>
      </c>
      <c r="D5">
        <v>96675821.259933606</v>
      </c>
      <c r="E5">
        <v>0</v>
      </c>
      <c r="F5">
        <v>0.99268958629197901</v>
      </c>
      <c r="G5">
        <v>0</v>
      </c>
      <c r="H5">
        <v>7.3104137080205901E-3</v>
      </c>
      <c r="I5">
        <v>0</v>
      </c>
    </row>
    <row r="6" spans="1:20" x14ac:dyDescent="0.25">
      <c r="A6">
        <v>2022</v>
      </c>
      <c r="B6">
        <v>13764509790.727301</v>
      </c>
      <c r="C6">
        <v>0</v>
      </c>
      <c r="D6">
        <v>130084228.405339</v>
      </c>
      <c r="E6">
        <v>0</v>
      </c>
      <c r="F6">
        <v>0.99063778126757696</v>
      </c>
      <c r="G6">
        <v>0</v>
      </c>
      <c r="H6">
        <v>9.3622187324231693E-3</v>
      </c>
      <c r="I6">
        <v>0</v>
      </c>
    </row>
    <row r="7" spans="1:20" x14ac:dyDescent="0.25">
      <c r="A7">
        <v>2023</v>
      </c>
      <c r="B7">
        <v>13439528313.678699</v>
      </c>
      <c r="C7">
        <v>0</v>
      </c>
      <c r="D7">
        <v>290140056.84101999</v>
      </c>
      <c r="E7">
        <v>0</v>
      </c>
      <c r="F7">
        <v>0.97886765732346404</v>
      </c>
      <c r="G7">
        <v>0</v>
      </c>
      <c r="H7">
        <v>2.1132342676535899E-2</v>
      </c>
      <c r="I7">
        <v>0</v>
      </c>
    </row>
    <row r="8" spans="1:20" x14ac:dyDescent="0.25">
      <c r="A8">
        <v>2024</v>
      </c>
      <c r="B8">
        <v>14874715252.8556</v>
      </c>
      <c r="C8">
        <v>0</v>
      </c>
      <c r="D8">
        <v>362419882.75851798</v>
      </c>
      <c r="E8">
        <v>113721603.299096</v>
      </c>
      <c r="F8">
        <v>0.96898274186543398</v>
      </c>
      <c r="G8">
        <v>0</v>
      </c>
      <c r="H8">
        <v>2.36090981058934E-2</v>
      </c>
      <c r="I8">
        <v>7.4081600286725604E-3</v>
      </c>
    </row>
    <row r="9" spans="1:20" x14ac:dyDescent="0.25">
      <c r="A9">
        <v>2025</v>
      </c>
      <c r="B9">
        <v>16155359690.02</v>
      </c>
      <c r="C9">
        <v>0</v>
      </c>
      <c r="D9">
        <v>432846221.13999999</v>
      </c>
      <c r="E9">
        <v>151921293.16</v>
      </c>
      <c r="F9">
        <v>0.96506791691827198</v>
      </c>
      <c r="G9">
        <v>0</v>
      </c>
      <c r="H9">
        <v>2.5856805976259199E-2</v>
      </c>
      <c r="I9">
        <v>9.0752771054687601E-3</v>
      </c>
    </row>
    <row r="11" spans="1:20" x14ac:dyDescent="0.25">
      <c r="K11" s="15"/>
    </row>
    <row r="12" spans="1:20" x14ac:dyDescent="0.25">
      <c r="K12" s="15"/>
      <c r="L12" s="18"/>
      <c r="M12" s="18"/>
      <c r="N12" s="18"/>
      <c r="O12" s="18"/>
      <c r="P12" s="18"/>
      <c r="Q12" s="18"/>
      <c r="R12" s="18"/>
      <c r="S12" s="18"/>
      <c r="T12" s="18"/>
    </row>
    <row r="13" spans="1:20" x14ac:dyDescent="0.25">
      <c r="K13" s="15"/>
      <c r="L13" s="15"/>
      <c r="M13" s="15"/>
      <c r="N13" s="15"/>
      <c r="O13" s="15"/>
      <c r="P13" s="15"/>
      <c r="Q13" s="18"/>
      <c r="R13" s="18"/>
      <c r="S13" s="18"/>
      <c r="T13" s="18"/>
    </row>
    <row r="14" spans="1:20" x14ac:dyDescent="0.25">
      <c r="K14" s="15"/>
      <c r="L14" s="18"/>
      <c r="M14" s="18"/>
      <c r="N14" s="18"/>
      <c r="O14" s="18"/>
      <c r="P14" s="35"/>
      <c r="Q14" s="15"/>
      <c r="R14" s="15"/>
      <c r="S14" s="15"/>
      <c r="T14" s="15"/>
    </row>
    <row r="15" spans="1:20" x14ac:dyDescent="0.25">
      <c r="A15" s="7" t="s">
        <v>16</v>
      </c>
      <c r="B15" s="7" t="s">
        <v>30</v>
      </c>
      <c r="C15" s="7" t="s">
        <v>27</v>
      </c>
      <c r="D15" s="7" t="s">
        <v>28</v>
      </c>
      <c r="E15" s="7" t="s">
        <v>29</v>
      </c>
      <c r="K15" s="15"/>
      <c r="L15" s="11" t="s">
        <v>16</v>
      </c>
      <c r="M15" s="11" t="s">
        <v>30</v>
      </c>
      <c r="N15" s="11" t="s">
        <v>27</v>
      </c>
      <c r="O15" s="11" t="s">
        <v>28</v>
      </c>
      <c r="P15" s="12" t="s">
        <v>29</v>
      </c>
      <c r="Q15" s="8"/>
      <c r="R15" s="8"/>
      <c r="S15" s="8"/>
      <c r="T15" s="8"/>
    </row>
    <row r="16" spans="1:20" x14ac:dyDescent="0.25">
      <c r="A16" s="34">
        <v>2018</v>
      </c>
      <c r="B16" s="7">
        <v>1</v>
      </c>
      <c r="C16" s="7">
        <v>0</v>
      </c>
      <c r="D16" s="7">
        <v>0</v>
      </c>
      <c r="E16" s="7">
        <v>0</v>
      </c>
      <c r="K16" s="15"/>
      <c r="L16" s="16">
        <v>2018</v>
      </c>
      <c r="M16" s="37">
        <v>1</v>
      </c>
      <c r="N16" s="37">
        <v>0</v>
      </c>
      <c r="O16" s="37">
        <v>0</v>
      </c>
      <c r="P16" s="38">
        <v>0</v>
      </c>
      <c r="Q16" s="30"/>
      <c r="R16" s="30"/>
      <c r="S16" s="30"/>
      <c r="T16" s="30"/>
    </row>
    <row r="17" spans="1:20" x14ac:dyDescent="0.25">
      <c r="A17" s="34">
        <v>2019</v>
      </c>
      <c r="B17" s="7">
        <v>1</v>
      </c>
      <c r="C17" s="7">
        <v>0</v>
      </c>
      <c r="D17" s="7">
        <v>0</v>
      </c>
      <c r="E17" s="7">
        <v>0</v>
      </c>
      <c r="K17" s="15"/>
      <c r="L17" s="17">
        <v>2019</v>
      </c>
      <c r="M17" s="39">
        <v>1</v>
      </c>
      <c r="N17" s="39">
        <v>0</v>
      </c>
      <c r="O17" s="39">
        <v>0</v>
      </c>
      <c r="P17" s="40">
        <v>0</v>
      </c>
      <c r="Q17" s="30"/>
      <c r="R17" s="30"/>
      <c r="S17" s="30"/>
      <c r="T17" s="30"/>
    </row>
    <row r="18" spans="1:20" x14ac:dyDescent="0.25">
      <c r="A18" s="34">
        <v>2020</v>
      </c>
      <c r="B18" s="7">
        <v>1</v>
      </c>
      <c r="C18" s="7">
        <v>0</v>
      </c>
      <c r="D18" s="7">
        <v>0</v>
      </c>
      <c r="E18" s="7">
        <v>0</v>
      </c>
      <c r="K18" s="15"/>
      <c r="L18" s="17">
        <v>2020</v>
      </c>
      <c r="M18" s="39">
        <v>1</v>
      </c>
      <c r="N18" s="39">
        <v>0</v>
      </c>
      <c r="O18" s="39">
        <v>0</v>
      </c>
      <c r="P18" s="40">
        <v>0</v>
      </c>
      <c r="Q18" s="30"/>
      <c r="R18" s="30"/>
      <c r="S18" s="30"/>
      <c r="T18" s="30"/>
    </row>
    <row r="19" spans="1:20" x14ac:dyDescent="0.25">
      <c r="A19" s="34">
        <v>2021</v>
      </c>
      <c r="B19" s="7">
        <v>0.99268958629197901</v>
      </c>
      <c r="C19" s="7">
        <v>0</v>
      </c>
      <c r="D19" s="7">
        <v>7.3104137080205901E-3</v>
      </c>
      <c r="E19" s="7">
        <v>0</v>
      </c>
      <c r="K19" s="15"/>
      <c r="L19" s="17">
        <v>2021</v>
      </c>
      <c r="M19" s="39">
        <v>0.99268958629197901</v>
      </c>
      <c r="N19" s="39">
        <v>0</v>
      </c>
      <c r="O19" s="39">
        <v>7.3104137080205901E-3</v>
      </c>
      <c r="P19" s="40">
        <v>0</v>
      </c>
      <c r="Q19" s="30"/>
      <c r="R19" s="30"/>
      <c r="S19" s="30"/>
      <c r="T19" s="30"/>
    </row>
    <row r="20" spans="1:20" x14ac:dyDescent="0.25">
      <c r="A20" s="34">
        <v>2022</v>
      </c>
      <c r="B20" s="7">
        <v>0.99063778126757696</v>
      </c>
      <c r="C20" s="7">
        <v>0</v>
      </c>
      <c r="D20" s="7">
        <v>9.3622187324231693E-3</v>
      </c>
      <c r="E20" s="7">
        <v>0</v>
      </c>
      <c r="K20" s="15"/>
      <c r="L20" s="17">
        <v>2022</v>
      </c>
      <c r="M20" s="39">
        <v>0.99063778126757696</v>
      </c>
      <c r="N20" s="39">
        <v>0</v>
      </c>
      <c r="O20" s="39">
        <v>9.3622187324231693E-3</v>
      </c>
      <c r="P20" s="40">
        <v>0</v>
      </c>
      <c r="Q20" s="30"/>
      <c r="R20" s="30"/>
      <c r="S20" s="30"/>
      <c r="T20" s="30"/>
    </row>
    <row r="21" spans="1:20" x14ac:dyDescent="0.25">
      <c r="A21" s="34">
        <v>2023</v>
      </c>
      <c r="B21" s="7">
        <v>0.97886765732346404</v>
      </c>
      <c r="C21" s="7">
        <v>0</v>
      </c>
      <c r="D21" s="7">
        <v>2.1132342676535899E-2</v>
      </c>
      <c r="E21" s="7">
        <v>0</v>
      </c>
      <c r="K21" s="15"/>
      <c r="L21" s="17">
        <v>2023</v>
      </c>
      <c r="M21" s="39">
        <v>0.97886765732346404</v>
      </c>
      <c r="N21" s="39">
        <v>0</v>
      </c>
      <c r="O21" s="39">
        <v>2.1132342676535899E-2</v>
      </c>
      <c r="P21" s="40">
        <v>0</v>
      </c>
      <c r="Q21" s="30"/>
      <c r="R21" s="30"/>
      <c r="S21" s="30"/>
      <c r="T21" s="30"/>
    </row>
    <row r="22" spans="1:20" x14ac:dyDescent="0.25">
      <c r="A22" s="34">
        <v>2024</v>
      </c>
      <c r="B22" s="7">
        <v>0.96898274186543398</v>
      </c>
      <c r="C22" s="7">
        <v>0</v>
      </c>
      <c r="D22" s="7">
        <v>2.36090981058934E-2</v>
      </c>
      <c r="E22" s="7">
        <v>7.4081600286725604E-3</v>
      </c>
      <c r="K22" s="15"/>
      <c r="L22" s="17">
        <v>2024</v>
      </c>
      <c r="M22" s="39">
        <v>0.96898274186543398</v>
      </c>
      <c r="N22" s="39">
        <v>0</v>
      </c>
      <c r="O22" s="39">
        <v>2.36090981058934E-2</v>
      </c>
      <c r="P22" s="40">
        <v>7.4081600286725604E-3</v>
      </c>
      <c r="Q22" s="30"/>
      <c r="R22" s="30"/>
      <c r="S22" s="30"/>
      <c r="T22" s="30"/>
    </row>
    <row r="23" spans="1:20" x14ac:dyDescent="0.25">
      <c r="A23" s="34">
        <v>2025</v>
      </c>
      <c r="B23" s="7">
        <v>0.96506791691827198</v>
      </c>
      <c r="C23" s="7">
        <v>0</v>
      </c>
      <c r="D23" s="7">
        <v>2.5856805976259199E-2</v>
      </c>
      <c r="E23" s="7">
        <v>9.0752771054687601E-3</v>
      </c>
      <c r="K23" s="15"/>
      <c r="L23" s="23">
        <v>2025</v>
      </c>
      <c r="M23" s="41">
        <v>0.96506791691827198</v>
      </c>
      <c r="N23" s="41">
        <v>0</v>
      </c>
      <c r="O23" s="41">
        <v>2.5856805976259199E-2</v>
      </c>
      <c r="P23" s="42">
        <v>9.0752771054687601E-3</v>
      </c>
      <c r="Q23" s="30"/>
      <c r="R23" s="30"/>
      <c r="S23" s="30"/>
      <c r="T23" s="30"/>
    </row>
    <row r="24" spans="1:20" x14ac:dyDescent="0.25">
      <c r="K24" s="15"/>
      <c r="L24" s="27"/>
      <c r="M24" s="27"/>
      <c r="N24" s="27"/>
      <c r="O24" s="27"/>
      <c r="P24" s="36"/>
      <c r="Q24" s="15"/>
      <c r="R24" s="15"/>
      <c r="S24" s="15"/>
      <c r="T24" s="15"/>
    </row>
    <row r="25" spans="1:20" x14ac:dyDescent="0.25">
      <c r="K25" s="15"/>
      <c r="L25" s="15"/>
      <c r="M25" s="15"/>
      <c r="N25" s="15"/>
      <c r="O25" s="15"/>
      <c r="P25" s="20"/>
      <c r="Q25" s="15"/>
      <c r="R25" s="15"/>
      <c r="S25" s="15"/>
      <c r="T25" s="15"/>
    </row>
    <row r="26" spans="1:20" x14ac:dyDescent="0.25">
      <c r="K26" s="15"/>
      <c r="L26" s="19"/>
      <c r="M26" s="19"/>
      <c r="N26" s="19"/>
      <c r="O26" s="19"/>
      <c r="P26" s="19"/>
      <c r="Q26" s="19"/>
      <c r="R26" s="19"/>
      <c r="S26" s="19"/>
      <c r="T26" s="19"/>
    </row>
    <row r="27" spans="1:20" x14ac:dyDescent="0.25">
      <c r="K27" s="15"/>
    </row>
    <row r="28" spans="1:20" x14ac:dyDescent="0.25">
      <c r="K28" s="15"/>
    </row>
    <row r="34" spans="1:4" x14ac:dyDescent="0.25">
      <c r="A34" s="7" t="s">
        <v>16</v>
      </c>
      <c r="B34" s="7" t="s">
        <v>28</v>
      </c>
      <c r="C34" s="7" t="s">
        <v>29</v>
      </c>
      <c r="D34" s="7" t="s">
        <v>25</v>
      </c>
    </row>
    <row r="35" spans="1:4" x14ac:dyDescent="0.25">
      <c r="A35" s="34">
        <v>2021</v>
      </c>
      <c r="B35" s="43">
        <v>96.675821259933599</v>
      </c>
      <c r="C35" s="43"/>
      <c r="D35" s="43">
        <f>SUM(B35:C35)</f>
        <v>96.675821259933599</v>
      </c>
    </row>
    <row r="36" spans="1:4" x14ac:dyDescent="0.25">
      <c r="A36" s="34">
        <v>2022</v>
      </c>
      <c r="B36" s="43">
        <v>130.08422840533899</v>
      </c>
      <c r="C36" s="43"/>
      <c r="D36" s="43">
        <f t="shared" ref="D36:D39" si="0">SUM(B36:C36)</f>
        <v>130.08422840533899</v>
      </c>
    </row>
    <row r="37" spans="1:4" x14ac:dyDescent="0.25">
      <c r="A37" s="34">
        <v>2023</v>
      </c>
      <c r="B37" s="43">
        <v>290.14005684102</v>
      </c>
      <c r="C37" s="43"/>
      <c r="D37" s="43">
        <f t="shared" si="0"/>
        <v>290.14005684102</v>
      </c>
    </row>
    <row r="38" spans="1:4" x14ac:dyDescent="0.25">
      <c r="A38" s="34">
        <v>2024</v>
      </c>
      <c r="B38" s="43">
        <v>362.41988275851799</v>
      </c>
      <c r="C38" s="43">
        <v>113.721603299096</v>
      </c>
      <c r="D38" s="43">
        <f t="shared" si="0"/>
        <v>476.14148605761397</v>
      </c>
    </row>
    <row r="39" spans="1:4" x14ac:dyDescent="0.25">
      <c r="A39" s="34">
        <v>2025</v>
      </c>
      <c r="B39" s="43">
        <v>432.84622114000001</v>
      </c>
      <c r="C39" s="43">
        <v>151.92129316</v>
      </c>
      <c r="D39" s="43">
        <f t="shared" si="0"/>
        <v>584.76751430000002</v>
      </c>
    </row>
    <row r="42" spans="1:4" x14ac:dyDescent="0.25">
      <c r="B42" s="43"/>
      <c r="C42" s="43"/>
      <c r="D42" s="43"/>
    </row>
    <row r="43" spans="1:4" x14ac:dyDescent="0.25">
      <c r="B43" s="43"/>
      <c r="C43" s="43"/>
      <c r="D43" s="43"/>
    </row>
    <row r="44" spans="1:4" x14ac:dyDescent="0.25">
      <c r="B44" s="43"/>
      <c r="C44" s="43"/>
      <c r="D44" s="43"/>
    </row>
    <row r="45" spans="1:4" x14ac:dyDescent="0.25">
      <c r="B45" s="43"/>
      <c r="C45" s="43"/>
      <c r="D45" s="43"/>
    </row>
    <row r="46" spans="1:4" x14ac:dyDescent="0.25">
      <c r="B46" s="43"/>
      <c r="C46" s="43"/>
      <c r="D46" s="43"/>
    </row>
    <row r="47" spans="1:4" x14ac:dyDescent="0.25">
      <c r="B47" s="43"/>
      <c r="C47" s="43"/>
      <c r="D47" s="43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rectot_fundeb_mun</vt:lpstr>
      <vt:lpstr>rectot_edu</vt:lpstr>
      <vt:lpstr>perc_rectot_edu</vt:lpstr>
      <vt:lpstr>comparacao_participacao</vt:lpstr>
      <vt:lpstr>composicao_fundeb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Lucas Resende Laguardia (SEPLAG)</cp:lastModifiedBy>
  <dcterms:created xsi:type="dcterms:W3CDTF">2026-09-06T20:32:08Z</dcterms:created>
  <dcterms:modified xsi:type="dcterms:W3CDTF">2026-09-07T00:19:22Z</dcterms:modified>
</cp:coreProperties>
</file>